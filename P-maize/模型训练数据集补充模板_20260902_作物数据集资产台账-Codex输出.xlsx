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ilian/Documents/02_EBP/outputs/20260902_crop_asset_ledger_filled/"/>
    </mc:Choice>
  </mc:AlternateContent>
  <xr:revisionPtr revIDLastSave="0" documentId="13_ncr:1_{7F807F62-2AA4-AF44-A81F-F33E90DF6DB8}" xr6:coauthVersionLast="47" xr6:coauthVersionMax="47" xr10:uidLastSave="{00000000-0000-0000-0000-000000000000}"/>
  <bookViews>
    <workbookView xWindow="29400" yWindow="-1980" windowWidth="38400" windowHeight="21100" activeTab="1" xr2:uid="{00000000-000D-0000-FFFF-FFFF00000000}"/>
  </bookViews>
  <sheets>
    <sheet name="使用说明" sheetId="1" r:id="rId1"/>
    <sheet name="数据集资产台账" sheetId="3" r:id="rId2"/>
    <sheet name="模型任务需求" sheetId="2" r:id="rId3"/>
    <sheet name="标签与验证记录" sheetId="4" r:id="rId4"/>
    <sheet name="字段字典" sheetId="5" r:id="rId5"/>
    <sheet name="选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3" l="1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H3" i="3" s="1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F3" i="3"/>
  <c r="D3" i="3"/>
  <c r="B3" i="3"/>
</calcChain>
</file>

<file path=xl/sharedStrings.xml><?xml version="1.0" encoding="utf-8"?>
<sst xmlns="http://schemas.openxmlformats.org/spreadsheetml/2006/main" count="729" uniqueCount="519">
  <si>
    <t>模型训练数据集补充模板｜填写说明</t>
  </si>
  <si>
    <t>目的：以模型任务为牵引，统一收集作物及植物多组学数据集的客观信息、训练标签、访问条件和实际可用性。每一行原则上对应一个数据集或一个明确版本。</t>
  </si>
  <si>
    <t>填写原则</t>
  </si>
  <si>
    <t>说明</t>
  </si>
  <si>
    <t>1. 先定义任务</t>
  </si>
  <si>
    <t>先在“模型任务需求”中写清模型要解决的问题，再盘点数据。</t>
  </si>
  <si>
    <t>2. 一行一数据集</t>
  </si>
  <si>
    <t>不同物种、模态、处理层级或版本应有独立ID。</t>
  </si>
  <si>
    <t>3. 客观信息先批量导出</t>
  </si>
  <si>
    <t>数据中心优先补充系统中已有字段，无法确认填写“待核验”。</t>
  </si>
  <si>
    <t>4. 可训练性要试跑</t>
  </si>
  <si>
    <t>“Model-ready”必须有代表性样本验证，不由表格单独推断。</t>
  </si>
  <si>
    <t>5. 语义由研究者补</t>
  </si>
  <si>
    <t>性状含义、组织/时间点、生物学标签和科学优先级由研究者确认。</t>
  </si>
  <si>
    <t>6. 来源必须可追溯</t>
  </si>
  <si>
    <t>填写数据库、项目、文献、样本或路径，并保留版本/日期。</t>
  </si>
  <si>
    <t>7. 权限单独记录</t>
  </si>
  <si>
    <t>区分公开、内部可用、需审批、需VPN或存在合规限制。</t>
  </si>
  <si>
    <t>8. 缺口要可行动</t>
  </si>
  <si>
    <t>待补充项写成具体动作、责任人和预期完成时间。</t>
  </si>
  <si>
    <t>状态分层</t>
  </si>
  <si>
    <t>Raw → QC → Annotated → Model-ready → Application-ready。</t>
  </si>
  <si>
    <t>优先级</t>
  </si>
  <si>
    <t>P0：直接支撑近期模型任务；P1：重要补充；P2：观察或后续建设。</t>
  </si>
  <si>
    <t>信息完整度</t>
  </si>
  <si>
    <t>台账自动计算核心字段填写比例，仅作提醒，不等同于数据质量。</t>
  </si>
  <si>
    <t>版本管理</t>
  </si>
  <si>
    <t>数据更新后新建版本或更新版本字段，避免覆盖历史记录。</t>
  </si>
  <si>
    <t>提交方式</t>
  </si>
  <si>
    <t>先由数据中心批量填充，再由项目组和模型团队集中核验。</t>
  </si>
  <si>
    <t>验证记录</t>
  </si>
  <si>
    <t>在“标签与验证记录”中登记代表性样本的实际导入结果。</t>
  </si>
  <si>
    <t>不要猜测</t>
  </si>
  <si>
    <t>未知、缺失和不适用分别写清，不要用估计值替代。</t>
  </si>
  <si>
    <t>最终产物</t>
  </si>
  <si>
    <t>形成可复用、可调用、可进入训练流程的模型训练标准数据集。</t>
  </si>
  <si>
    <t>角色</t>
  </si>
  <si>
    <t>主要责任</t>
  </si>
  <si>
    <t>填写位置</t>
  </si>
  <si>
    <t>完成标准</t>
  </si>
  <si>
    <t>数据中心</t>
  </si>
  <si>
    <t>批量导出数据集基础信息、质量、位置、权限和来源</t>
  </si>
  <si>
    <t>数据集资产台账</t>
  </si>
  <si>
    <t>客观字段有值或明确标记待核验</t>
  </si>
  <si>
    <t>研究者/领域专家</t>
  </si>
  <si>
    <t>补充性状、标签含义、实验条件、科学问题和优先级</t>
  </si>
  <si>
    <t>模型任务需求、资产台账、字段字典</t>
  </si>
  <si>
    <t>语义可解释、可追溯、可用于建模</t>
  </si>
  <si>
    <t>模型团队</t>
  </si>
  <si>
    <t>定义输入输出、最低质量标准、训练标签和验证方法</t>
  </si>
  <si>
    <t>模型任务需求、标签与验证记录</t>
  </si>
  <si>
    <t>代表性样本完成试跑并给出结论</t>
  </si>
  <si>
    <t>方向协调人</t>
  </si>
  <si>
    <t>汇总缺口、推动补充、维护版本和状态</t>
  </si>
  <si>
    <t>全工作簿</t>
  </si>
  <si>
    <t>形成可更新的统一台账和待办清单</t>
  </si>
  <si>
    <t>推荐流程</t>
  </si>
  <si>
    <t>动作</t>
  </si>
  <si>
    <t>主要参与者</t>
  </si>
  <si>
    <t>输出</t>
  </si>
  <si>
    <t>1</t>
  </si>
  <si>
    <t>定义近期3–5个模型/应用任务</t>
  </si>
  <si>
    <t>模型团队+方向负责人</t>
  </si>
  <si>
    <t>任务ID和最低数据要求</t>
  </si>
  <si>
    <t>2</t>
  </si>
  <si>
    <t>基于现有系统批量盘点数据集</t>
  </si>
  <si>
    <t>资产台账初版</t>
  </si>
  <si>
    <t>3</t>
  </si>
  <si>
    <t>补充标签、性状、组织/条件和优先级</t>
  </si>
  <si>
    <t>语义完整的候选数据集</t>
  </si>
  <si>
    <t>4</t>
  </si>
  <si>
    <t>抽取代表性样本进行实际导入和训练前检查</t>
  </si>
  <si>
    <t>模型团队+数据中心</t>
  </si>
  <si>
    <t>验证记录和Model-ready判定</t>
  </si>
  <si>
    <t>5</t>
  </si>
  <si>
    <t>按缺口清单补数据、补标签、补流程并更新版本</t>
  </si>
  <si>
    <t>三方协同</t>
  </si>
  <si>
    <t>可持续更新的数据集资产台账</t>
  </si>
  <si>
    <t>填写顺序建议：先填写“模型任务需求”中的正式需求，再由数据中心填写“数据集资产台账”，最后用“标签与验证记录”确认代表性样本是否真正可进入训练流程。</t>
  </si>
  <si>
    <t>已录入数据集</t>
  </si>
  <si>
    <t>Model-ready</t>
  </si>
  <si>
    <t>需补充</t>
  </si>
  <si>
    <t>完整度均值</t>
  </si>
  <si>
    <t>填写说明</t>
  </si>
  <si>
    <t>先填A–N列，再由模型团队填写P列</t>
  </si>
  <si>
    <t>数据集ID</t>
  </si>
  <si>
    <t>数据集名称</t>
  </si>
  <si>
    <t>物种/品种</t>
  </si>
  <si>
    <t>材料/组织/条件</t>
  </si>
  <si>
    <t>数据类型/模态</t>
  </si>
  <si>
    <t>数据阶段</t>
  </si>
  <si>
    <t>样本/序列规模</t>
  </si>
  <si>
    <t>质量指标/报告链接</t>
  </si>
  <si>
    <t>标签/注释情况</t>
  </si>
  <si>
    <t>存储位置/访问方式</t>
  </si>
  <si>
    <t>来源/版本</t>
  </si>
  <si>
    <t>权限/合规状态</t>
  </si>
  <si>
    <t>对应模型任务ID</t>
  </si>
  <si>
    <t>责任人/协作团队</t>
  </si>
  <si>
    <t>模型可用性判定</t>
  </si>
  <si>
    <t>待补充项/备注</t>
  </si>
  <si>
    <t>模型任务需求｜先定义“要训练什么”，再决定“要收集什么”</t>
  </si>
  <si>
    <t>参考示例仅用于说明填写颗粒度，不代表已确认的正式需求；正式需求请从“正式需求”行开始补充。</t>
  </si>
  <si>
    <t>记录类型</t>
  </si>
  <si>
    <t>任务ID</t>
  </si>
  <si>
    <t>模型/应用名称</t>
  </si>
  <si>
    <t>科学问题/目标</t>
  </si>
  <si>
    <t>预期输入数据集</t>
  </si>
  <si>
    <t>数据模态（可直接人工填写）</t>
  </si>
  <si>
    <t>数据颗粒度</t>
  </si>
  <si>
    <t>标签/预测目标</t>
  </si>
  <si>
    <t>最低质量标准</t>
  </si>
  <si>
    <t>最小样本规模</t>
  </si>
  <si>
    <t>预期输出/评价指标</t>
  </si>
  <si>
    <t>提出团队/负责人</t>
  </si>
  <si>
    <t>需求状态</t>
  </si>
  <si>
    <t>待讨论问题</t>
  </si>
  <si>
    <t>参考示例</t>
  </si>
  <si>
    <t>EX-01</t>
  </si>
  <si>
    <t>数字植物基础模型—基因组与注释</t>
  </si>
  <si>
    <t>跨物种学习基因组、基因结构与功能注释之间的关联</t>
  </si>
  <si>
    <t>待关联</t>
  </si>
  <si>
    <t>基因组/基因结构/功能注释</t>
  </si>
  <si>
    <t>物种—基因</t>
  </si>
  <si>
    <t>基因结构或功能类别</t>
  </si>
  <si>
    <t>质量指标可追溯；注释版本明确</t>
  </si>
  <si>
    <t>按任务确定</t>
  </si>
  <si>
    <t>注释准确性、跨物种泛化能力</t>
  </si>
  <si>
    <t>P0</t>
  </si>
  <si>
    <t>待确认</t>
  </si>
  <si>
    <t>需要明确训练/验证物种划分</t>
  </si>
  <si>
    <t>EX-02</t>
  </si>
  <si>
    <t>重复序列注释专项模型</t>
  </si>
  <si>
    <t>识别重复序列和转座子，降低其对编码基因注释的干扰</t>
  </si>
  <si>
    <t>基因组/重复序列标注</t>
  </si>
  <si>
    <t>序列—区段</t>
  </si>
  <si>
    <t>repeat类别与坐标</t>
  </si>
  <si>
    <t>高质量人工或权威标注集</t>
  </si>
  <si>
    <t>数十至百级代表样本</t>
  </si>
  <si>
    <t>Precision/Recall、跨类群稳定性</t>
  </si>
  <si>
    <t>需要确定正负样本和标注规范</t>
  </si>
  <si>
    <t>EX-03</t>
  </si>
  <si>
    <t>作物与畜牧性状关联</t>
  </si>
  <si>
    <t>关联基因组变异、表达或调控特征与生产/抗逆性状</t>
  </si>
  <si>
    <t>基因组/表达/表型/环境</t>
  </si>
  <si>
    <t>个体—样本—性状</t>
  </si>
  <si>
    <t>性状值或分类标签</t>
  </si>
  <si>
    <t>性状定义、测量单位和批次信息完整</t>
  </si>
  <si>
    <t>按性状和物种确定</t>
  </si>
  <si>
    <t>预测性能、可解释候选基因</t>
  </si>
  <si>
    <t>P1</t>
  </si>
  <si>
    <t>方向负责人</t>
  </si>
  <si>
    <t>需要统一性状本体和测量单位</t>
  </si>
  <si>
    <t>EX-04</t>
  </si>
  <si>
    <t>植物时空细胞模型</t>
  </si>
  <si>
    <t>连接细胞类型、空间位置、时间点、表达和调控状态</t>
  </si>
  <si>
    <t>单细胞/空间转录组/scATAC/代谢</t>
  </si>
  <si>
    <t>细胞—组织—空间—时间</t>
  </si>
  <si>
    <t>细胞类型、空间区域、状态标签</t>
  </si>
  <si>
    <t>元数据、批次和组织层级完整</t>
  </si>
  <si>
    <t>按组织和时间点确定</t>
  </si>
  <si>
    <t>细胞类型识别、状态预测、机制假设</t>
  </si>
  <si>
    <t>EBP, STOC Plant/模型团队</t>
  </si>
  <si>
    <t>需先统一细胞类型和空间标签体系</t>
  </si>
  <si>
    <t>正式需求</t>
  </si>
  <si>
    <t>标签与验证记录｜用代表性样本确认数据能否真正进入训练流程</t>
  </si>
  <si>
    <t>此表记录实际验证，不替代资产台账。建议每个候选数据集至少选一个代表性样本，并保留 accession、路径、版本或日志链接。</t>
  </si>
  <si>
    <t>验证ID</t>
  </si>
  <si>
    <t>模型任务ID</t>
  </si>
  <si>
    <t>代表性样本/Accession</t>
  </si>
  <si>
    <t>输入格式是否匹配</t>
  </si>
  <si>
    <t>基础质量是否达标</t>
  </si>
  <si>
    <t>标签/注释是否可用</t>
  </si>
  <si>
    <t>实际试跑结果</t>
  </si>
  <si>
    <t>发现问题</t>
  </si>
  <si>
    <t>处理建议/责任人</t>
  </si>
  <si>
    <t>验证人</t>
  </si>
  <si>
    <t>验证日期</t>
  </si>
  <si>
    <t>验证结论</t>
  </si>
  <si>
    <t>VAL-EX-01</t>
  </si>
  <si>
    <t>DS-待填</t>
  </si>
  <si>
    <t>EX-待填</t>
  </si>
  <si>
    <t>sample_or_accession_待填</t>
  </si>
  <si>
    <t>待核验</t>
  </si>
  <si>
    <t>填写实际导入/训练前检查结果</t>
  </si>
  <si>
    <t>记录具体问题</t>
  </si>
  <si>
    <t>写明动作和责任人</t>
  </si>
  <si>
    <t>待填</t>
  </si>
  <si>
    <t>未评估</t>
  </si>
  <si>
    <t>正式验证</t>
  </si>
  <si>
    <t>字段字典｜字段含义、责任和推荐填写方式</t>
  </si>
  <si>
    <t>如字段不适用于某类数据集，填写“不适用”；如目前无法确认，填写“待核验”。字段说明可按实际模型任务继续扩展。</t>
  </si>
  <si>
    <t>所属表</t>
  </si>
  <si>
    <t>字段</t>
  </si>
  <si>
    <t>字段含义</t>
  </si>
  <si>
    <t>建议填写人</t>
  </si>
  <si>
    <t>推荐格式</t>
  </si>
  <si>
    <t>填写示例/判定口径</t>
  </si>
  <si>
    <t>是否核心字段</t>
  </si>
  <si>
    <t>模型任务需求</t>
  </si>
  <si>
    <t>一个明确的模型或应用任务的唯一标识</t>
  </si>
  <si>
    <t>EX-01或TASK-001</t>
  </si>
  <si>
    <t>同一任务在全工作簿保持一致</t>
  </si>
  <si>
    <t>是</t>
  </si>
  <si>
    <t>数据模态</t>
  </si>
  <si>
    <t>模型预期使用的数据类型或模态</t>
  </si>
  <si>
    <t>从选项中选择</t>
  </si>
  <si>
    <t>基因组、转录组、表型、多模态等</t>
  </si>
  <si>
    <t>模型要学习、预测或生成的目标</t>
  </si>
  <si>
    <t>模型团队+研究者</t>
  </si>
  <si>
    <t>文字+单位/本体</t>
  </si>
  <si>
    <t>明确标签定义、单位和粒度</t>
  </si>
  <si>
    <t>进入训练或验证前必须满足的质量门槛</t>
  </si>
  <si>
    <t>指标+阈值</t>
  </si>
  <si>
    <t>BUSCO、测序深度、细胞数、缺失率等</t>
  </si>
  <si>
    <t>数据集唯一标识，便于跨表关联</t>
  </si>
  <si>
    <t>DS-001</t>
  </si>
  <si>
    <t>不要使用易重复的简称</t>
  </si>
  <si>
    <t>数据从原始到可应用的处理阶段</t>
  </si>
  <si>
    <t>Raw/QC/Annotated/Model-ready/Application-ready</t>
  </si>
  <si>
    <t>以实际流程状态为准</t>
  </si>
  <si>
    <t>支撑质量判断的指标或报告位置</t>
  </si>
  <si>
    <t>指标+链接/路径</t>
  </si>
  <si>
    <t>保留来源、版本和日期</t>
  </si>
  <si>
    <t>当前已有标签、注释和其覆盖范围</t>
  </si>
  <si>
    <t>研究者+数据中心</t>
  </si>
  <si>
    <t>标签名+覆盖率/版本</t>
  </si>
  <si>
    <t>不要只写“有注释”</t>
  </si>
  <si>
    <t>数据是否可访问及访问限制</t>
  </si>
  <si>
    <t>公开/内部可用/需审批等</t>
  </si>
  <si>
    <t>需审批或VPN应写清</t>
  </si>
  <si>
    <t>模型团队基于任务和试跑给出的结论</t>
  </si>
  <si>
    <t>未评估/候选/需补充/Model-ready</t>
  </si>
  <si>
    <t>必须结合验证记录</t>
  </si>
  <si>
    <t>标签与验证记录</t>
  </si>
  <si>
    <t>实际验证所用的样本或数据访问编号</t>
  </si>
  <si>
    <t>数据中心+模型团队</t>
  </si>
  <si>
    <t>样本ID/Accession/路径</t>
  </si>
  <si>
    <t>必须可复现地定位</t>
  </si>
  <si>
    <t>标签是否能被模型读取、对齐和解释</t>
  </si>
  <si>
    <t>通过/部分通过/不通过</t>
  </si>
  <si>
    <t>记录原因和缺口</t>
  </si>
  <si>
    <t>导入、解析、质控或训练前检查的结果</t>
  </si>
  <si>
    <t>结果摘要+日志链接</t>
  </si>
  <si>
    <t>不要只写“可用”</t>
  </si>
  <si>
    <t>对当前模型任务的最终判断</t>
  </si>
  <si>
    <t>通过/需补充/不通过/暂缓</t>
  </si>
  <si>
    <t>不能脱离具体任务理解</t>
  </si>
  <si>
    <t>选项｜可按团队实际情况维护</t>
  </si>
  <si>
    <t>模型可用性</t>
  </si>
  <si>
    <t>访问权限</t>
  </si>
  <si>
    <t>Raw</t>
  </si>
  <si>
    <t>公开</t>
  </si>
  <si>
    <t>基因组</t>
  </si>
  <si>
    <t>QC</t>
  </si>
  <si>
    <t>候选</t>
  </si>
  <si>
    <t>通过</t>
  </si>
  <si>
    <t>内部可用</t>
  </si>
  <si>
    <t>基因结构/注释</t>
  </si>
  <si>
    <t>Annotated</t>
  </si>
  <si>
    <t>P2</t>
  </si>
  <si>
    <t>需审批</t>
  </si>
  <si>
    <t>重复序列</t>
  </si>
  <si>
    <t>不通过</t>
  </si>
  <si>
    <t>需VPN</t>
  </si>
  <si>
    <t>转录组</t>
  </si>
  <si>
    <t>Application-ready</t>
  </si>
  <si>
    <t>暂缓</t>
  </si>
  <si>
    <t>受限/待确认</t>
  </si>
  <si>
    <t>蛋白组</t>
  </si>
  <si>
    <t>不可用/暂不纳入</t>
  </si>
  <si>
    <t>不适用</t>
  </si>
  <si>
    <t>单细胞转录组</t>
  </si>
  <si>
    <t>空间转录组</t>
  </si>
  <si>
    <t>scATAC</t>
  </si>
  <si>
    <t>代谢组</t>
  </si>
  <si>
    <t>表型</t>
  </si>
  <si>
    <t>环境</t>
  </si>
  <si>
    <t>多模态</t>
  </si>
  <si>
    <t>其他</t>
  </si>
  <si>
    <t>数据集资产台账｜作物公共资源初筛，数据中心核验，项目组和模型团队共同判定</t>
  </si>
  <si>
    <t>本版按论文与公开资源初筛（参考Nat Rev Genet 2026，DOI:10.1038/s41576-026-01000-x）；未知填“待核验”。已填字段不等于已接入，P列需经代表性样本试跑后判定。</t>
  </si>
  <si>
    <t>3K Rice Genomes Project</t>
  </si>
  <si>
    <t>水稻（Oryza sativa；多品种）</t>
  </si>
  <si>
    <t>3,000核心种质；89个国家/地区</t>
  </si>
  <si>
    <t>全基因组重测序+SNP/Indel</t>
  </si>
  <si>
    <t>3,024份；平均14×；原始数据约15.4 TB</t>
  </si>
  <si>
    <t>平均覆盖94.0%，比对率92.5%，约1,890万SNP；https://pmc.ncbi.nlm.nih.gov/articles/PMC4035669/</t>
  </si>
  <si>
    <t>品种群/地理元数据；SNP/Indel；表型需统一</t>
  </si>
  <si>
    <t>GigaDB/ENA PRJEB6180/AWS S3；公开</t>
  </si>
  <si>
    <t>3K RGP；2014/2018；https://iric.irri.org/projects/3000-rice-genomes-project</t>
  </si>
  <si>
    <t>公开（按项目声明）</t>
  </si>
  <si>
    <t>EX-01；EX-03</t>
  </si>
  <si>
    <t>三亚分院；协同华中、北京；数据中心</t>
  </si>
  <si>
    <t>先核验版本、ID、VCF/BAM与表型的可关联性</t>
  </si>
  <si>
    <t>RPAN水稻泛基因组浏览器/3K整合资源</t>
  </si>
  <si>
    <t>水稻（3,010份）</t>
  </si>
  <si>
    <t>3K accessions；基因组/基因表达/PAV</t>
  </si>
  <si>
    <t>泛基因组+PAV+基因表达</t>
  </si>
  <si>
    <t>3,010份；原始规模约15 TB（需按版本核验）</t>
  </si>
  <si>
    <t>PAV/基因注释/表达检索；https://pmc.ncbi.nlm.nih.gov/articles/PMC5314802/</t>
  </si>
  <si>
    <t>基因家族/PAV；表达与品种信息需统一</t>
  </si>
  <si>
    <t>RPAN/3K泛基因组浏览器；下载方式待核验</t>
  </si>
  <si>
    <t>RPAN；2017</t>
  </si>
  <si>
    <t>公开/待核验</t>
  </si>
  <si>
    <t>EX-01；EX-02</t>
  </si>
  <si>
    <t>三亚分院；协同北京、华中；数据中心</t>
  </si>
  <si>
    <t>核验可下载文件、版本及许可</t>
  </si>
  <si>
    <t>Rice single-cell multi-omics atlas</t>
  </si>
  <si>
    <t>水稻（Oryza sativa）</t>
  </si>
  <si>
    <t>多器官/发育阶段/细胞类型</t>
  </si>
  <si>
    <t>scRNA-seq+scATAC-seq+RNA-seq</t>
  </si>
  <si>
    <t>GEO：GSE232863、GSE273875、GSE245410；样本量/数据量待核验</t>
  </si>
  <si>
    <t>细胞类型与顺式调控景观；https://www.nature.com/articles/s41586-025-09251-0</t>
  </si>
  <si>
    <t>细胞类型/器官/阶段/调控元件；需做跨模态样本配对</t>
  </si>
  <si>
    <t>NCBI GEO；公开/待核验</t>
  </si>
  <si>
    <t>Nature 2025；DOI:10.1038/s41586-025-09251-0</t>
  </si>
  <si>
    <t>三亚分院；数据中心；模型团队</t>
  </si>
  <si>
    <t>仅作为细胞层候选，先核验原始与处理数据对应关系</t>
  </si>
  <si>
    <t>IWGSC RefSeq v2.1小麦参考基因组</t>
  </si>
  <si>
    <t>普通小麦（T. aestivum；Chinese Spring）</t>
  </si>
  <si>
    <t>参考材料；染色体级基因组</t>
  </si>
  <si>
    <t>参考基因组+基因注释</t>
  </si>
  <si>
    <t>RefSeq v2.1；光学图谱+PacBio WGS修订；规模指标待核验</t>
  </si>
  <si>
    <t>版本说明与数据入口；https://www.wheatgenome.org/projects/reference-genome-project/refseq-v2.1</t>
  </si>
  <si>
    <t>基因/转录本/重复序列注释；调控注释需补</t>
  </si>
  <si>
    <t>URGI/NCBI PRJNA669381；公开/待核验</t>
  </si>
  <si>
    <t>IWGSC RefSeq v2.1</t>
  </si>
  <si>
    <t>北京分院；协同三亚；数据中心</t>
  </si>
  <si>
    <t>核验下载清单、参考坐标、注释版本</t>
  </si>
  <si>
    <t>Wheat transcriptome atlas</t>
  </si>
  <si>
    <t>小麦（Triticum spp.）</t>
  </si>
  <si>
    <t>多组织/发育阶段/环境条件</t>
  </si>
  <si>
    <t>bulk RNA-seq</t>
  </si>
  <si>
    <t>850个RNA-seq数据集；六倍体约101,245个转录本</t>
  </si>
  <si>
    <t>资源说明与数据入口；https://www.wheatgenome.org/resources/transcription-data</t>
  </si>
  <si>
    <t>组织/阶段/环境元数据；需按参考版本重映射</t>
  </si>
  <si>
    <t>URGI/ENA/NCBI；公开/待核验</t>
  </si>
  <si>
    <t>IWGSC transcriptome atlas；2015起更新</t>
  </si>
  <si>
    <t>北京分院；数据中心；模型团队</t>
  </si>
  <si>
    <t>核验原始/处理数据、样本表及批次信息</t>
  </si>
  <si>
    <t>Common wheat multi-omics atlas（PXD042492）</t>
  </si>
  <si>
    <t>普通小麦</t>
  </si>
  <si>
    <t>20个组织/发育阶段</t>
  </si>
  <si>
    <t>转录组+蛋白组+磷酸化组+乙酰化组</t>
  </si>
  <si>
    <t>20组织；132,570 transcripts；32,256 proteins；69,364 phosphosites；34,974 acetylsites</t>
  </si>
  <si>
    <t>ProteomeXchange/PXD042492；https://proteomecentral.proteomexchange.org/cgi/GetDataset?ID=PXD042492</t>
  </si>
  <si>
    <t>组织/阶段/蛋白/PTM；需补基因型与表型关联</t>
  </si>
  <si>
    <t>ProteomeXchange；公开/待核验</t>
  </si>
  <si>
    <t>2023；PXD042492</t>
  </si>
  <si>
    <t>EX-02；EX-03</t>
  </si>
  <si>
    <t>核验原始/处理文件及跨组学样本ID</t>
  </si>
  <si>
    <t>玉米NAM群体基因型-表型-环境数据</t>
  </si>
  <si>
    <t>玉米（B73×25 founders；约5,000 RIL）</t>
  </si>
  <si>
    <t>多家系/多地点/多性状</t>
  </si>
  <si>
    <t>基因型+表型+环境</t>
  </si>
  <si>
    <t>约5,000 RIL；最多20性状/11环境</t>
  </si>
  <si>
    <t>群体设计与田间表型说明；https://www.ars.usda.gov/research/publications/publication/?seqNo115=222182</t>
  </si>
  <si>
    <t>家系/品系/性状/环境；BLUP可用但需统一单位</t>
  </si>
  <si>
    <t>公开论文/公共平台；下载路径待核验</t>
  </si>
  <si>
    <t>NAM；2009起；https://pmc.ncbi.nlm.nih.gov/articles/PMC2206100/</t>
  </si>
  <si>
    <t>华中分院；协同北京；数据中心</t>
  </si>
  <si>
    <t>优先核验line-trait-environment主键、重复与BLUP来源</t>
  </si>
  <si>
    <t>玉米NAM创始系长读长基因组组装</t>
  </si>
  <si>
    <t>玉米（25个NAM founder lines）</t>
  </si>
  <si>
    <t>25个创始系；PacBio/BioNano</t>
  </si>
  <si>
    <t>长读长基因组组装+注释</t>
  </si>
  <si>
    <t>25个创始系；组装指标待核验</t>
  </si>
  <si>
    <t>NCBI BioProject PRJEB31061；https://www.ncbi.nlm.nih.gov/bioproject/PRJEB31061</t>
  </si>
  <si>
    <t>基因/结构变异；需统一坐标和版本</t>
  </si>
  <si>
    <t>NCBI；公开</t>
  </si>
  <si>
    <t>NAM Sequencing Consortium；PRJEB31061</t>
  </si>
  <si>
    <t>作为玉米泛基因组锚点，核验assembly/annotation对应关系</t>
  </si>
  <si>
    <t>Soybean graph pan-genome（26代表性材料）</t>
  </si>
  <si>
    <t>大豆/豆类（野生、地方品种、栽培品种）</t>
  </si>
  <si>
    <t>26个de novo组装；来自2,898份重测序材料</t>
  </si>
  <si>
    <t>泛基因组+WGS+RNA-seq</t>
  </si>
  <si>
    <t>26个组装；2,898份重测序；图泛基因组</t>
  </si>
  <si>
    <t>遗传变异与表达/农艺性状关联；https://doi.org/10.1016/j.cell.2020.05.023</t>
  </si>
  <si>
    <t>SV/PAV/基因表达/农艺性状；需统一品种与表型ID</t>
  </si>
  <si>
    <t>NCBI PRJCA002030/SRA；公开/待核验</t>
  </si>
  <si>
    <t>Liu et al. Cell 2020</t>
  </si>
  <si>
    <t>EX-01；EX-02；EX-03</t>
  </si>
  <si>
    <t>核验图泛基因组、群体重测序与RNA-seq的关联主键</t>
  </si>
  <si>
    <t>PanSoy栽培大豆泛基因组</t>
  </si>
  <si>
    <t>栽培大豆（Glycine max）</t>
  </si>
  <si>
    <t>204个改良品种；GmHapMap代表材料</t>
  </si>
  <si>
    <t>de novo基因组组装+PAV</t>
  </si>
  <si>
    <t>204份；108 Mb非参考序列；3,621个蛋白编码基因</t>
  </si>
  <si>
    <t>PanSoy论文与补充数据；https://pmc.ncbi.nlm.nih.gov/articles/PMC8428833/</t>
  </si>
  <si>
    <t>基因/PAV；需补表型与环境标签</t>
  </si>
  <si>
    <t>论文关联数据/公共数据库；权限待核验</t>
  </si>
  <si>
    <t>PanSoy；2021</t>
  </si>
  <si>
    <t>三亚分院；数据中心</t>
  </si>
  <si>
    <t>核验是否可批量下载及与GmHapMap ID对齐</t>
  </si>
  <si>
    <t>Medicago super-pangenome（苜蓿/饲草代表）</t>
  </si>
  <si>
    <t>苜蓿/饲草（M. sativa及Medicago属）</t>
  </si>
  <si>
    <t>7个分类单元；13个基因组</t>
  </si>
  <si>
    <t>单倍型分辨基因组+泛基因组</t>
  </si>
  <si>
    <t>13个基因组/7个分类单元；数据量待核验</t>
  </si>
  <si>
    <t>论文与数据入口；https://doi.org/10.1038/s41467-025-67280-9</t>
  </si>
  <si>
    <t>多倍体单倍型/基因家族；饲草性状需补</t>
  </si>
  <si>
    <t>论文关联数据库/NCBI；公开/待核验</t>
  </si>
  <si>
    <t>Medicago super-pangenome；2025</t>
  </si>
  <si>
    <t>北京分院；数据中心</t>
  </si>
  <si>
    <t>先由负责人确认纳入M. sativa范围，再核验多倍体样本与性状</t>
  </si>
  <si>
    <t>Barley pan-genome</t>
  </si>
  <si>
    <t>大麦（H. vulgare）</t>
  </si>
  <si>
    <t>20个多样性品种；另有300份基因库材料</t>
  </si>
  <si>
    <t>染色体级组装+WGS+SV</t>
  </si>
  <si>
    <t>20个组装；300份WGS；大麦基因组约5 Gb</t>
  </si>
  <si>
    <t>论文；https://doi.org/10.1038/s41586-020-2947-8</t>
  </si>
  <si>
    <t>PAV/SV/倒位；表型关联需补</t>
  </si>
  <si>
    <t>NCBI/论文数据；公开/待核验</t>
  </si>
  <si>
    <t>Jayakodi et al. Nature 2020</t>
  </si>
  <si>
    <t>北京分院；协同华中；数据中心</t>
  </si>
  <si>
    <t>核验组装、变异与基因库ID关联</t>
  </si>
  <si>
    <t>Barley pan-transcriptome</t>
  </si>
  <si>
    <t>大麦</t>
  </si>
  <si>
    <t>20基因型×5组织×3重复</t>
  </si>
  <si>
    <t>RNA-seq+PacBio Iso-seq</t>
  </si>
  <si>
    <t>326个SRA实验；330个样本（4个QC失败）；1.11 TB</t>
  </si>
  <si>
    <t>NCBI BioProject PRJEB64639；https://www.ncbi.nlm.nih.gov/bioproject/PRJEB64639</t>
  </si>
  <si>
    <t>组织/基因型/重复/转录本；元数据较完整</t>
  </si>
  <si>
    <t>NCBI SRA；公开</t>
  </si>
  <si>
    <t>PRJEB64639；2023</t>
  </si>
  <si>
    <t>核验sample sheet、Iso-seq对应关系和参考版本</t>
  </si>
  <si>
    <t>Setaria pan-genome</t>
  </si>
  <si>
    <t>谷子（谷穗，Setaria italica；含野生近缘）</t>
  </si>
  <si>
    <t>110代表性基因组；1,844份属内材料</t>
  </si>
  <si>
    <t>泛基因组+WGS+表型/环境</t>
  </si>
  <si>
    <t>110个组装；1,844份WGS约15×；68性状/13环境</t>
  </si>
  <si>
    <t>PAV/SV/性状关联；https://pmc.ncbi.nlm.nih.gov/articles/PMC10335933/</t>
  </si>
  <si>
    <t>基因家族/SV/PAV/性状/环境；需规范性状</t>
  </si>
  <si>
    <t>论文/公共数据库；公开/待核验</t>
  </si>
  <si>
    <t>Setaria pan-genome；2023</t>
  </si>
  <si>
    <t>北京分院；协同华中、三亚；数据中心</t>
  </si>
  <si>
    <t>核验环境/性状原始记录及群体ID</t>
  </si>
  <si>
    <t>Whole-genome resequencing of 445 Lactuca accessions</t>
  </si>
  <si>
    <t>果蔬（生菜；Lactuca spp.）</t>
  </si>
  <si>
    <t>445份栽培与野生近缘材料</t>
  </si>
  <si>
    <t>全基因组重测序+变异</t>
  </si>
  <si>
    <t>445份；原始数据PRJNA693894</t>
  </si>
  <si>
    <t>群体变异图谱；https://www.nature.com/articles/s41588-021-00831-0</t>
  </si>
  <si>
    <t>SNP/Indel/群体结构/驯化性状；表型需结构化</t>
  </si>
  <si>
    <t>NCBI SRA PRJNA693894；CNSA CNP0000335</t>
  </si>
  <si>
    <t>Wei et al. Nature Genetics 2021</t>
  </si>
  <si>
    <t>华中分院；数据中心</t>
  </si>
  <si>
    <t>核验CNSA下载、变异文件和性状字段</t>
  </si>
  <si>
    <t>LettuceGDB生菜基因组与多组学资源</t>
  </si>
  <si>
    <t>果蔬（生菜；多类型）</t>
  </si>
  <si>
    <t>2个参考基因组；1,000+品种/1,300+种质</t>
  </si>
  <si>
    <t>基因组+重测序+表型+转录组+代谢组+表观组</t>
  </si>
  <si>
    <t>&gt;1,000份重测序；&gt;1,300份种质；256个RNA-seq数据集</t>
  </si>
  <si>
    <t>社区数据库介绍；https://pmc.ncbi.nlm.nih.gov/articles/PMC9860171/</t>
  </si>
  <si>
    <t>基因型/种质/表型/转录组/代谢/表观；需做数据镜像核验</t>
  </si>
  <si>
    <t>LettuceGDB；公开网页/下载方式待核验</t>
  </si>
  <si>
    <t>LettuceGDB；2022</t>
  </si>
  <si>
    <t>华中分院；数据中心；模型团队</t>
  </si>
  <si>
    <t>作为整合线索，不直接视为标准训练数据集；核验许可与批量接口</t>
  </si>
  <si>
    <t>Brassica napus八基因组泛基因组</t>
  </si>
  <si>
    <t>油菜（B. napus）</t>
  </si>
  <si>
    <t>8个高质量基因组+ZS11/Darmor-bzh等参考</t>
  </si>
  <si>
    <t>泛基因组+SV/PAV+PAV-GWAS</t>
  </si>
  <si>
    <t>8个de novo组装；PAV 77.2–149.6 Mb；约1.8 Gb泛基因组</t>
  </si>
  <si>
    <t>论文；https://doi.org/10.1038/s41477-019-0577-7</t>
  </si>
  <si>
    <t>基因簇/PAV/SV/性状；已关联角果长、粒重、花期</t>
  </si>
  <si>
    <t>Song et al. Nature Plants 2020</t>
  </si>
  <si>
    <t>核验8个assembly与PAV-GWAS原始文件</t>
  </si>
  <si>
    <t>BnPIR油菜泛基因组信息资源</t>
  </si>
  <si>
    <t>1,689份材料；泛基因组信息资源</t>
  </si>
  <si>
    <t>泛基因组变异+PAV</t>
  </si>
  <si>
    <t>1,689份；变异规模/文件量待核验</t>
  </si>
  <si>
    <t>资源论文；https://pmc.ncbi.nlm.nih.gov/articles/PMC7955874/</t>
  </si>
  <si>
    <t>PAV/同源基因/变异检索；表型关联需补</t>
  </si>
  <si>
    <t>BnPIR/公共网页；下载方式待核验</t>
  </si>
  <si>
    <t>BnPIR；2021</t>
  </si>
  <si>
    <t>核验批量下载、版本、品种ID与性状表</t>
  </si>
  <si>
    <t>Cassava wild and cultivated diversity genomes</t>
  </si>
  <si>
    <t>热带作物（木薯；M. esculenta）</t>
  </si>
  <si>
    <t>53份栽培与野生材料；南美/非洲/亚洲/大洋洲</t>
  </si>
  <si>
    <t>染色体级参考基因组+WGS</t>
  </si>
  <si>
    <t>53份；中位深度63×（19–168×）</t>
  </si>
  <si>
    <t>论文；https://www.nature.com/articles/nbt.3535</t>
  </si>
  <si>
    <t>SNP/SV/群体结构；环境/产量性状需补</t>
  </si>
  <si>
    <t>NCBI/论文关联数据；公开/待核验</t>
  </si>
  <si>
    <t>Bredeson et al. Nature Biotechnology 2016</t>
  </si>
  <si>
    <t>核验参考版本、群体材料与块根性状的可关联性</t>
  </si>
  <si>
    <t>Tomato pan-genome</t>
  </si>
  <si>
    <t>园艺作物（番茄代表；Solanum spp.）</t>
  </si>
  <si>
    <t>725份系统发育/地理代表性材料；含野生近缘</t>
  </si>
  <si>
    <t>泛基因组+WGS+PAV</t>
  </si>
  <si>
    <t>725份；1,179 Mb；40,369蛋白编码基因；4,873个非参考基因</t>
  </si>
  <si>
    <t>论文；https://pubmed.ncbi.nlm.nih.gov/31086351/</t>
  </si>
  <si>
    <t>基因/PAV/果实风味；需补多环境表型</t>
  </si>
  <si>
    <t>论文关联数据/Dryad；公开/待核验</t>
  </si>
  <si>
    <t>Gao et al. Nature Genetics 2019；DOI:10.1038/s41588-019-0410-2</t>
  </si>
  <si>
    <t>粤港澳分院；数据中心</t>
  </si>
  <si>
    <t>作为园艺代表候选，需负责人确认是否纳入番茄及替换物种</t>
  </si>
  <si>
    <t>CRP-001</t>
  </si>
  <si>
    <t>CRP-002</t>
  </si>
  <si>
    <t>CRP-003</t>
  </si>
  <si>
    <t>CRP-004</t>
  </si>
  <si>
    <t>CRP-005</t>
  </si>
  <si>
    <t>CRP-006</t>
  </si>
  <si>
    <t>CRP-007</t>
  </si>
  <si>
    <t>CRP-008</t>
  </si>
  <si>
    <t>CRP-009</t>
  </si>
  <si>
    <t>CRP-010</t>
  </si>
  <si>
    <t>CRP-011</t>
  </si>
  <si>
    <t>CRP-012</t>
  </si>
  <si>
    <t>CRP-013</t>
  </si>
  <si>
    <t>CRP-014</t>
  </si>
  <si>
    <t>CRP-015</t>
  </si>
  <si>
    <t>CRP-016</t>
  </si>
  <si>
    <t>CRP-017</t>
  </si>
  <si>
    <t>CRP-018</t>
  </si>
  <si>
    <t>CRP-019</t>
  </si>
  <si>
    <t>CRP-020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</si>
</sst>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1"/>
      <color rgb="FFFFFFFF"/>
      <name val="Carlito"/>
    </font>
    <font>
      <sz val="11"/>
      <color rgb="FF5B6573"/>
      <name val="Carlito"/>
    </font>
    <font>
      <b/>
      <sz val="11"/>
      <color rgb="FF5B6573"/>
      <name val="Carlito"/>
    </font>
    <font>
      <b/>
      <sz val="14"/>
      <color rgb="FFFFFFFF"/>
      <name val="Aptos Display"/>
    </font>
    <font>
      <sz val="11"/>
      <name val="Carlito"/>
    </font>
    <font>
      <sz val="9"/>
      <name val="FangSong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0F766E"/>
      </patternFill>
    </fill>
    <fill>
      <patternFill patternType="solid">
        <fgColor rgb="FFF7F9FC"/>
      </patternFill>
    </fill>
    <fill>
      <patternFill patternType="solid">
        <fgColor rgb="FFF3F6F9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4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2" fillId="5" borderId="3" xfId="1" applyFont="1" applyFill="1" applyBorder="1" applyAlignment="1">
      <alignment vertical="center" wrapText="1"/>
    </xf>
    <xf numFmtId="0" fontId="2" fillId="5" borderId="4" xfId="1" applyFont="1" applyFill="1" applyBorder="1" applyAlignment="1">
      <alignment vertical="center" wrapText="1"/>
    </xf>
    <xf numFmtId="0" fontId="2" fillId="5" borderId="5" xfId="1" applyFont="1" applyFill="1" applyBorder="1" applyAlignment="1">
      <alignment vertical="center" wrapText="1"/>
    </xf>
    <xf numFmtId="0" fontId="2" fillId="5" borderId="1" xfId="1" applyFont="1" applyFill="1" applyBorder="1" applyAlignment="1">
      <alignment vertical="center" wrapText="1"/>
    </xf>
    <xf numFmtId="0" fontId="2" fillId="5" borderId="6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3" fontId="3" fillId="6" borderId="0" xfId="1" applyNumberFormat="1" applyFont="1" applyFill="1" applyAlignment="1">
      <alignment vertical="center"/>
    </xf>
    <xf numFmtId="9" fontId="3" fillId="6" borderId="0" xfId="1" applyNumberFormat="1" applyFont="1" applyFill="1" applyAlignment="1">
      <alignment vertical="center"/>
    </xf>
    <xf numFmtId="9" fontId="0" fillId="0" borderId="3" xfId="1" applyNumberFormat="1" applyFont="1" applyBorder="1" applyAlignment="1">
      <alignment vertical="center" wrapText="1"/>
    </xf>
    <xf numFmtId="9" fontId="0" fillId="0" borderId="1" xfId="1" applyNumberFormat="1" applyFont="1" applyBorder="1" applyAlignment="1">
      <alignment vertical="center" wrapText="1"/>
    </xf>
    <xf numFmtId="9" fontId="0" fillId="0" borderId="8" xfId="1" applyNumberFormat="1" applyFont="1" applyBorder="1" applyAlignment="1">
      <alignment vertical="center" wrapText="1"/>
    </xf>
    <xf numFmtId="176" fontId="2" fillId="5" borderId="3" xfId="1" applyNumberFormat="1" applyFont="1" applyFill="1" applyBorder="1" applyAlignment="1">
      <alignment vertical="center" wrapText="1"/>
    </xf>
    <xf numFmtId="176" fontId="0" fillId="0" borderId="1" xfId="1" applyNumberFormat="1" applyFont="1" applyBorder="1" applyAlignment="1">
      <alignment vertical="center" wrapText="1"/>
    </xf>
    <xf numFmtId="176" fontId="0" fillId="0" borderId="8" xfId="1" applyNumberFormat="1" applyFont="1" applyBorder="1" applyAlignment="1">
      <alignment vertical="center" wrapText="1"/>
    </xf>
    <xf numFmtId="0" fontId="4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3">
    <dxf>
      <font>
        <color rgb="FF9C0006"/>
      </font>
      <fill>
        <patternFill>
          <bgColor rgb="FFF4CCCC"/>
        </patternFill>
      </fill>
    </dxf>
    <dxf>
      <font>
        <color rgb="FF5B6573"/>
      </font>
      <fill>
        <patternFill>
          <bgColor rgb="FFF3F6F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2F6B3E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B6573"/>
      </font>
      <fill>
        <patternFill>
          <bgColor rgb="FFF3F6F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2F6B3E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B6573"/>
      </font>
      <fill>
        <patternFill>
          <bgColor rgb="FFF3F6F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2F6B3E"/>
      </font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B6573"/>
      </font>
      <fill>
        <patternFill>
          <bgColor rgb="FFF3F6F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2F6B3E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tasetAssetLedger" displayName="DatasetAssetLedger" ref="A5:Q35" totalsRowShown="0">
  <tableColumns count="17">
    <tableColumn id="1" xr3:uid="{00000000-0010-0000-0000-000001000000}" name="数据集ID"/>
    <tableColumn id="2" xr3:uid="{00000000-0010-0000-0000-000002000000}" name="数据集名称"/>
    <tableColumn id="3" xr3:uid="{00000000-0010-0000-0000-000003000000}" name="物种/品种"/>
    <tableColumn id="4" xr3:uid="{00000000-0010-0000-0000-000004000000}" name="材料/组织/条件"/>
    <tableColumn id="5" xr3:uid="{00000000-0010-0000-0000-000005000000}" name="数据类型/模态"/>
    <tableColumn id="6" xr3:uid="{00000000-0010-0000-0000-000006000000}" name="数据阶段"/>
    <tableColumn id="7" xr3:uid="{00000000-0010-0000-0000-000007000000}" name="样本/序列规模"/>
    <tableColumn id="8" xr3:uid="{00000000-0010-0000-0000-000008000000}" name="质量指标/报告链接"/>
    <tableColumn id="9" xr3:uid="{00000000-0010-0000-0000-000009000000}" name="标签/注释情况"/>
    <tableColumn id="10" xr3:uid="{00000000-0010-0000-0000-00000A000000}" name="存储位置/访问方式"/>
    <tableColumn id="11" xr3:uid="{00000000-0010-0000-0000-00000B000000}" name="来源/版本"/>
    <tableColumn id="12" xr3:uid="{00000000-0010-0000-0000-00000C000000}" name="权限/合规状态"/>
    <tableColumn id="13" xr3:uid="{00000000-0010-0000-0000-00000D000000}" name="对应模型任务ID"/>
    <tableColumn id="14" xr3:uid="{00000000-0010-0000-0000-00000E000000}" name="责任人/协作团队"/>
    <tableColumn id="15" xr3:uid="{00000000-0010-0000-0000-00000F000000}" name="信息完整度"/>
    <tableColumn id="16" xr3:uid="{00000000-0010-0000-0000-000010000000}" name="模型可用性判定"/>
    <tableColumn id="17" xr3:uid="{00000000-0010-0000-0000-000011000000}" name="待补充项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ModelTaskRequirements" displayName="ModelTaskRequirements" ref="A5:O25" totalsRowShown="0">
  <tableColumns count="15">
    <tableColumn id="1" xr3:uid="{00000000-0010-0000-0100-000001000000}" name="记录类型"/>
    <tableColumn id="2" xr3:uid="{00000000-0010-0000-0100-000002000000}" name="任务ID"/>
    <tableColumn id="3" xr3:uid="{00000000-0010-0000-0100-000003000000}" name="模型/应用名称"/>
    <tableColumn id="4" xr3:uid="{00000000-0010-0000-0100-000004000000}" name="科学问题/目标"/>
    <tableColumn id="5" xr3:uid="{00000000-0010-0000-0100-000005000000}" name="预期输入数据集"/>
    <tableColumn id="6" xr3:uid="{00000000-0010-0000-0100-000006000000}" name="数据模态（可直接人工填写）"/>
    <tableColumn id="7" xr3:uid="{00000000-0010-0000-0100-000007000000}" name="数据颗粒度"/>
    <tableColumn id="8" xr3:uid="{00000000-0010-0000-0100-000008000000}" name="标签/预测目标"/>
    <tableColumn id="9" xr3:uid="{00000000-0010-0000-0100-000009000000}" name="最低质量标准"/>
    <tableColumn id="10" xr3:uid="{00000000-0010-0000-0100-00000A000000}" name="最小样本规模"/>
    <tableColumn id="11" xr3:uid="{00000000-0010-0000-0100-00000B000000}" name="预期输出/评价指标"/>
    <tableColumn id="12" xr3:uid="{00000000-0010-0000-0100-00000C000000}" name="优先级"/>
    <tableColumn id="13" xr3:uid="{00000000-0010-0000-0100-00000D000000}" name="提出团队/负责人"/>
    <tableColumn id="14" xr3:uid="{00000000-0010-0000-0100-00000E000000}" name="需求状态"/>
    <tableColumn id="15" xr3:uid="{00000000-0010-0000-0100-00000F000000}" name="待讨论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etValidationLog" displayName="DatasetValidationLog" ref="A5:N25" totalsRowShown="0">
  <tableColumns count="14">
    <tableColumn id="1" xr3:uid="{00000000-0010-0000-0200-000001000000}" name="记录类型"/>
    <tableColumn id="2" xr3:uid="{00000000-0010-0000-0200-000002000000}" name="验证ID"/>
    <tableColumn id="3" xr3:uid="{00000000-0010-0000-0200-000003000000}" name="数据集ID"/>
    <tableColumn id="4" xr3:uid="{00000000-0010-0000-0200-000004000000}" name="模型任务ID"/>
    <tableColumn id="5" xr3:uid="{00000000-0010-0000-0200-000005000000}" name="代表性样本/Accession"/>
    <tableColumn id="6" xr3:uid="{00000000-0010-0000-0200-000006000000}" name="输入格式是否匹配"/>
    <tableColumn id="7" xr3:uid="{00000000-0010-0000-0200-000007000000}" name="基础质量是否达标"/>
    <tableColumn id="8" xr3:uid="{00000000-0010-0000-0200-000008000000}" name="标签/注释是否可用"/>
    <tableColumn id="9" xr3:uid="{00000000-0010-0000-0200-000009000000}" name="实际试跑结果"/>
    <tableColumn id="10" xr3:uid="{00000000-0010-0000-0200-00000A000000}" name="发现问题"/>
    <tableColumn id="11" xr3:uid="{00000000-0010-0000-0200-00000B000000}" name="处理建议/责任人"/>
    <tableColumn id="12" xr3:uid="{00000000-0010-0000-0200-00000C000000}" name="验证人"/>
    <tableColumn id="13" xr3:uid="{00000000-0010-0000-0200-00000D000000}" name="验证日期"/>
    <tableColumn id="14" xr3:uid="{00000000-0010-0000-0200-00000E000000}" name="验证结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eldDictionary" displayName="FieldDictionary" ref="A5:G19" totalsRowShown="0">
  <tableColumns count="7">
    <tableColumn id="1" xr3:uid="{00000000-0010-0000-0300-000001000000}" name="所属表"/>
    <tableColumn id="2" xr3:uid="{00000000-0010-0000-0300-000002000000}" name="字段"/>
    <tableColumn id="3" xr3:uid="{00000000-0010-0000-0300-000003000000}" name="字段含义"/>
    <tableColumn id="4" xr3:uid="{00000000-0010-0000-0300-000004000000}" name="建议填写人"/>
    <tableColumn id="5" xr3:uid="{00000000-0010-0000-0300-000005000000}" name="推荐格式"/>
    <tableColumn id="6" xr3:uid="{00000000-0010-0000-0300-000006000000}" name="填写示例/判定口径"/>
    <tableColumn id="7" xr3:uid="{00000000-0010-0000-0300-000007000000}" name="是否核心字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1"/>
    </sheetView>
  </sheetViews>
  <sheetFormatPr baseColWidth="10" defaultColWidth="8.83203125" defaultRowHeight="14"/>
  <cols>
    <col min="1" max="1" width="18" customWidth="1"/>
    <col min="2" max="2" width="34" customWidth="1"/>
    <col min="3" max="3" width="18" customWidth="1"/>
    <col min="4" max="4" width="34" customWidth="1"/>
    <col min="5" max="5" width="18" customWidth="1"/>
    <col min="6" max="6" width="34" customWidth="1"/>
    <col min="7" max="7" width="18" customWidth="1"/>
    <col min="8" max="8" width="34" customWidth="1"/>
  </cols>
  <sheetData>
    <row r="1" spans="1:8" ht="30" customHeight="1">
      <c r="A1" s="27" t="s">
        <v>0</v>
      </c>
      <c r="B1" s="27"/>
      <c r="C1" s="27"/>
      <c r="D1" s="27"/>
      <c r="E1" s="27"/>
      <c r="F1" s="27"/>
      <c r="G1" s="27"/>
      <c r="H1" s="27"/>
    </row>
    <row r="2" spans="1:8" ht="34" customHeight="1">
      <c r="A2" s="28" t="s">
        <v>1</v>
      </c>
      <c r="B2" s="28"/>
      <c r="C2" s="28"/>
      <c r="D2" s="28"/>
      <c r="E2" s="28"/>
      <c r="F2" s="28"/>
      <c r="G2" s="28"/>
      <c r="H2" s="28"/>
    </row>
    <row r="4" spans="1:8" ht="34" customHeight="1">
      <c r="A4" s="1" t="s">
        <v>2</v>
      </c>
      <c r="B4" s="1" t="s">
        <v>3</v>
      </c>
      <c r="C4" s="1" t="s">
        <v>2</v>
      </c>
      <c r="D4" s="1" t="s">
        <v>3</v>
      </c>
      <c r="E4" s="1" t="s">
        <v>2</v>
      </c>
      <c r="F4" s="1" t="s">
        <v>3</v>
      </c>
      <c r="G4" s="1" t="s">
        <v>2</v>
      </c>
      <c r="H4" s="1" t="s">
        <v>3</v>
      </c>
    </row>
    <row r="5" spans="1:8" ht="44" customHeight="1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4" t="s">
        <v>11</v>
      </c>
    </row>
    <row r="6" spans="1:8" ht="44" customHeight="1">
      <c r="A6" s="5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7" t="s">
        <v>19</v>
      </c>
    </row>
    <row r="7" spans="1:8" ht="44" customHeight="1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6" t="s">
        <v>26</v>
      </c>
      <c r="H7" s="7" t="s">
        <v>27</v>
      </c>
    </row>
    <row r="8" spans="1:8" ht="44" customHeight="1">
      <c r="A8" s="8" t="s">
        <v>28</v>
      </c>
      <c r="B8" s="9" t="s">
        <v>29</v>
      </c>
      <c r="C8" s="9" t="s">
        <v>30</v>
      </c>
      <c r="D8" s="9" t="s">
        <v>31</v>
      </c>
      <c r="E8" s="9" t="s">
        <v>32</v>
      </c>
      <c r="F8" s="9" t="s">
        <v>33</v>
      </c>
      <c r="G8" s="9" t="s">
        <v>34</v>
      </c>
      <c r="H8" s="10" t="s">
        <v>35</v>
      </c>
    </row>
    <row r="10" spans="1:8" ht="34" customHeight="1">
      <c r="A10" s="1" t="s">
        <v>36</v>
      </c>
      <c r="B10" s="1" t="s">
        <v>37</v>
      </c>
      <c r="C10" s="1" t="s">
        <v>38</v>
      </c>
      <c r="D10" s="1" t="s">
        <v>39</v>
      </c>
    </row>
    <row r="11" spans="1:8" ht="30">
      <c r="A11" s="2" t="s">
        <v>40</v>
      </c>
      <c r="B11" s="3" t="s">
        <v>41</v>
      </c>
      <c r="C11" s="3" t="s">
        <v>42</v>
      </c>
      <c r="D11" s="4" t="s">
        <v>43</v>
      </c>
    </row>
    <row r="12" spans="1:8" ht="30">
      <c r="A12" s="5" t="s">
        <v>44</v>
      </c>
      <c r="B12" s="6" t="s">
        <v>45</v>
      </c>
      <c r="C12" s="6" t="s">
        <v>46</v>
      </c>
      <c r="D12" s="7" t="s">
        <v>47</v>
      </c>
    </row>
    <row r="13" spans="1:8" ht="30">
      <c r="A13" s="5" t="s">
        <v>48</v>
      </c>
      <c r="B13" s="6" t="s">
        <v>49</v>
      </c>
      <c r="C13" s="6" t="s">
        <v>50</v>
      </c>
      <c r="D13" s="7" t="s">
        <v>51</v>
      </c>
    </row>
    <row r="14" spans="1:8" ht="15">
      <c r="A14" s="8" t="s">
        <v>52</v>
      </c>
      <c r="B14" s="9" t="s">
        <v>53</v>
      </c>
      <c r="C14" s="9" t="s">
        <v>54</v>
      </c>
      <c r="D14" s="10" t="s">
        <v>55</v>
      </c>
    </row>
    <row r="16" spans="1:8" ht="34" customHeight="1">
      <c r="A16" s="11" t="s">
        <v>56</v>
      </c>
      <c r="B16" s="11" t="s">
        <v>57</v>
      </c>
      <c r="C16" s="11" t="s">
        <v>58</v>
      </c>
      <c r="D16" s="11" t="s">
        <v>59</v>
      </c>
    </row>
    <row r="17" spans="1:8" ht="30">
      <c r="A17" s="2" t="s">
        <v>60</v>
      </c>
      <c r="B17" s="3" t="s">
        <v>61</v>
      </c>
      <c r="C17" s="3" t="s">
        <v>62</v>
      </c>
      <c r="D17" s="4" t="s">
        <v>63</v>
      </c>
    </row>
    <row r="18" spans="1:8" ht="15">
      <c r="A18" s="5" t="s">
        <v>64</v>
      </c>
      <c r="B18" s="6" t="s">
        <v>65</v>
      </c>
      <c r="C18" s="6" t="s">
        <v>40</v>
      </c>
      <c r="D18" s="7" t="s">
        <v>66</v>
      </c>
    </row>
    <row r="19" spans="1:8" ht="15">
      <c r="A19" s="5" t="s">
        <v>67</v>
      </c>
      <c r="B19" s="6" t="s">
        <v>68</v>
      </c>
      <c r="C19" s="6" t="s">
        <v>44</v>
      </c>
      <c r="D19" s="7" t="s">
        <v>69</v>
      </c>
    </row>
    <row r="20" spans="1:8" ht="30">
      <c r="A20" s="5" t="s">
        <v>70</v>
      </c>
      <c r="B20" s="6" t="s">
        <v>71</v>
      </c>
      <c r="C20" s="6" t="s">
        <v>72</v>
      </c>
      <c r="D20" s="7" t="s">
        <v>73</v>
      </c>
    </row>
    <row r="21" spans="1:8" ht="30">
      <c r="A21" s="8" t="s">
        <v>74</v>
      </c>
      <c r="B21" s="9" t="s">
        <v>75</v>
      </c>
      <c r="C21" s="9" t="s">
        <v>76</v>
      </c>
      <c r="D21" s="10" t="s">
        <v>77</v>
      </c>
    </row>
    <row r="23" spans="1:8" ht="34" customHeight="1">
      <c r="A23" s="28" t="s">
        <v>78</v>
      </c>
      <c r="B23" s="28"/>
      <c r="C23" s="28"/>
      <c r="D23" s="28"/>
      <c r="E23" s="28"/>
      <c r="F23" s="28"/>
      <c r="G23" s="28"/>
      <c r="H23" s="28"/>
    </row>
  </sheetData>
  <mergeCells count="3">
    <mergeCell ref="A1:H1"/>
    <mergeCell ref="A2:H2"/>
    <mergeCell ref="A23:H2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showGridLines="0" tabSelected="1" workbookViewId="0">
      <selection activeCell="A6" sqref="A6:A35"/>
    </sheetView>
  </sheetViews>
  <sheetFormatPr baseColWidth="10" defaultColWidth="8.83203125" defaultRowHeight="14"/>
  <cols>
    <col min="1" max="1" width="16" customWidth="1"/>
    <col min="2" max="2" width="24" customWidth="1"/>
    <col min="3" max="3" width="18" customWidth="1"/>
    <col min="4" max="4" width="24" customWidth="1"/>
    <col min="5" max="5" width="18" customWidth="1"/>
    <col min="6" max="6" width="16" customWidth="1"/>
    <col min="7" max="7" width="18" customWidth="1"/>
    <col min="8" max="9" width="26" customWidth="1"/>
    <col min="10" max="10" width="28" customWidth="1"/>
    <col min="11" max="11" width="22" customWidth="1"/>
    <col min="12" max="12" width="16" customWidth="1"/>
    <col min="13" max="13" width="18" customWidth="1"/>
    <col min="14" max="14" width="20" customWidth="1"/>
    <col min="15" max="15" width="12" customWidth="1"/>
    <col min="16" max="16" width="18" customWidth="1"/>
    <col min="17" max="17" width="28" customWidth="1"/>
  </cols>
  <sheetData>
    <row r="1" spans="1:17" ht="30" customHeight="1">
      <c r="A1" s="27" t="s">
        <v>280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34" customHeight="1">
      <c r="A2" s="28" t="s">
        <v>281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>
      <c r="A3" s="18" t="s">
        <v>79</v>
      </c>
      <c r="B3" s="19">
        <f>COUNTA(A6:A35)</f>
        <v>20</v>
      </c>
      <c r="C3" s="18" t="s">
        <v>80</v>
      </c>
      <c r="D3" s="19">
        <f>COUNTIF(P6:P35,"Model-ready")</f>
        <v>0</v>
      </c>
      <c r="E3" s="18" t="s">
        <v>81</v>
      </c>
      <c r="F3" s="19">
        <f>COUNTIF(P6:P35,"需补充")</f>
        <v>20</v>
      </c>
      <c r="G3" s="18" t="s">
        <v>82</v>
      </c>
      <c r="H3" s="20">
        <f>IFERROR(AVERAGE(O6:O35),0)</f>
        <v>1</v>
      </c>
      <c r="I3" s="18" t="s">
        <v>83</v>
      </c>
      <c r="J3" s="18" t="s">
        <v>84</v>
      </c>
      <c r="K3" s="18"/>
    </row>
    <row r="5" spans="1:17" ht="34" customHeight="1">
      <c r="A5" s="1" t="s">
        <v>85</v>
      </c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24</v>
      </c>
      <c r="P5" s="1" t="s">
        <v>99</v>
      </c>
      <c r="Q5" s="1" t="s">
        <v>100</v>
      </c>
    </row>
    <row r="6" spans="1:17" ht="92" customHeight="1">
      <c r="A6" s="2" t="s">
        <v>499</v>
      </c>
      <c r="B6" s="3" t="s">
        <v>282</v>
      </c>
      <c r="C6" s="3" t="s">
        <v>283</v>
      </c>
      <c r="D6" s="3" t="s">
        <v>284</v>
      </c>
      <c r="E6" s="3" t="s">
        <v>285</v>
      </c>
      <c r="F6" s="3" t="s">
        <v>259</v>
      </c>
      <c r="G6" s="3" t="s">
        <v>286</v>
      </c>
      <c r="H6" s="3" t="s">
        <v>287</v>
      </c>
      <c r="I6" s="3" t="s">
        <v>288</v>
      </c>
      <c r="J6" s="3" t="s">
        <v>289</v>
      </c>
      <c r="K6" s="3" t="s">
        <v>290</v>
      </c>
      <c r="L6" s="3" t="s">
        <v>291</v>
      </c>
      <c r="M6" s="3" t="s">
        <v>292</v>
      </c>
      <c r="N6" s="3" t="s">
        <v>293</v>
      </c>
      <c r="O6" s="21">
        <f t="shared" ref="O6:O35" si="0">IF(A6="","",COUNTA(B6:N6)/13)</f>
        <v>1</v>
      </c>
      <c r="P6" s="3" t="s">
        <v>81</v>
      </c>
      <c r="Q6" s="4" t="s">
        <v>294</v>
      </c>
    </row>
    <row r="7" spans="1:17" ht="92" customHeight="1">
      <c r="A7" s="5" t="s">
        <v>500</v>
      </c>
      <c r="B7" s="6" t="s">
        <v>295</v>
      </c>
      <c r="C7" s="6" t="s">
        <v>296</v>
      </c>
      <c r="D7" s="6" t="s">
        <v>297</v>
      </c>
      <c r="E7" s="6" t="s">
        <v>298</v>
      </c>
      <c r="F7" s="6" t="s">
        <v>259</v>
      </c>
      <c r="G7" s="6" t="s">
        <v>299</v>
      </c>
      <c r="H7" s="6" t="s">
        <v>300</v>
      </c>
      <c r="I7" s="6" t="s">
        <v>301</v>
      </c>
      <c r="J7" s="6" t="s">
        <v>302</v>
      </c>
      <c r="K7" s="6" t="s">
        <v>303</v>
      </c>
      <c r="L7" s="6" t="s">
        <v>304</v>
      </c>
      <c r="M7" s="6" t="s">
        <v>305</v>
      </c>
      <c r="N7" s="6" t="s">
        <v>306</v>
      </c>
      <c r="O7" s="22">
        <f t="shared" si="0"/>
        <v>1</v>
      </c>
      <c r="P7" s="6" t="s">
        <v>81</v>
      </c>
      <c r="Q7" s="7" t="s">
        <v>307</v>
      </c>
    </row>
    <row r="8" spans="1:17" ht="92" customHeight="1">
      <c r="A8" s="5" t="s">
        <v>501</v>
      </c>
      <c r="B8" s="6" t="s">
        <v>308</v>
      </c>
      <c r="C8" s="6" t="s">
        <v>309</v>
      </c>
      <c r="D8" s="6" t="s">
        <v>310</v>
      </c>
      <c r="E8" s="6" t="s">
        <v>311</v>
      </c>
      <c r="F8" s="6" t="s">
        <v>259</v>
      </c>
      <c r="G8" s="6" t="s">
        <v>312</v>
      </c>
      <c r="H8" s="6" t="s">
        <v>313</v>
      </c>
      <c r="I8" s="6" t="s">
        <v>314</v>
      </c>
      <c r="J8" s="6" t="s">
        <v>315</v>
      </c>
      <c r="K8" s="6" t="s">
        <v>316</v>
      </c>
      <c r="L8" s="6" t="s">
        <v>304</v>
      </c>
      <c r="M8" s="6" t="s">
        <v>153</v>
      </c>
      <c r="N8" s="6" t="s">
        <v>317</v>
      </c>
      <c r="O8" s="22">
        <f t="shared" si="0"/>
        <v>1</v>
      </c>
      <c r="P8" s="6" t="s">
        <v>81</v>
      </c>
      <c r="Q8" s="7" t="s">
        <v>318</v>
      </c>
    </row>
    <row r="9" spans="1:17" ht="92" customHeight="1">
      <c r="A9" s="5" t="s">
        <v>502</v>
      </c>
      <c r="B9" s="6" t="s">
        <v>319</v>
      </c>
      <c r="C9" s="6" t="s">
        <v>320</v>
      </c>
      <c r="D9" s="6" t="s">
        <v>321</v>
      </c>
      <c r="E9" s="6" t="s">
        <v>322</v>
      </c>
      <c r="F9" s="6" t="s">
        <v>259</v>
      </c>
      <c r="G9" s="6" t="s">
        <v>323</v>
      </c>
      <c r="H9" s="6" t="s">
        <v>324</v>
      </c>
      <c r="I9" s="6" t="s">
        <v>325</v>
      </c>
      <c r="J9" s="6" t="s">
        <v>326</v>
      </c>
      <c r="K9" s="6" t="s">
        <v>327</v>
      </c>
      <c r="L9" s="6" t="s">
        <v>304</v>
      </c>
      <c r="M9" s="6" t="s">
        <v>118</v>
      </c>
      <c r="N9" s="6" t="s">
        <v>328</v>
      </c>
      <c r="O9" s="22">
        <f t="shared" si="0"/>
        <v>1</v>
      </c>
      <c r="P9" s="6" t="s">
        <v>81</v>
      </c>
      <c r="Q9" s="7" t="s">
        <v>329</v>
      </c>
    </row>
    <row r="10" spans="1:17" ht="92" customHeight="1">
      <c r="A10" s="5" t="s">
        <v>503</v>
      </c>
      <c r="B10" s="6" t="s">
        <v>330</v>
      </c>
      <c r="C10" s="6" t="s">
        <v>331</v>
      </c>
      <c r="D10" s="6" t="s">
        <v>332</v>
      </c>
      <c r="E10" s="6" t="s">
        <v>333</v>
      </c>
      <c r="F10" s="6" t="s">
        <v>259</v>
      </c>
      <c r="G10" s="6" t="s">
        <v>334</v>
      </c>
      <c r="H10" s="6" t="s">
        <v>335</v>
      </c>
      <c r="I10" s="6" t="s">
        <v>336</v>
      </c>
      <c r="J10" s="6" t="s">
        <v>337</v>
      </c>
      <c r="K10" s="6" t="s">
        <v>338</v>
      </c>
      <c r="L10" s="6" t="s">
        <v>304</v>
      </c>
      <c r="M10" s="6" t="s">
        <v>131</v>
      </c>
      <c r="N10" s="6" t="s">
        <v>339</v>
      </c>
      <c r="O10" s="22">
        <f t="shared" si="0"/>
        <v>1</v>
      </c>
      <c r="P10" s="6" t="s">
        <v>81</v>
      </c>
      <c r="Q10" s="7" t="s">
        <v>340</v>
      </c>
    </row>
    <row r="11" spans="1:17" ht="92" customHeight="1">
      <c r="A11" s="5" t="s">
        <v>504</v>
      </c>
      <c r="B11" s="6" t="s">
        <v>341</v>
      </c>
      <c r="C11" s="6" t="s">
        <v>342</v>
      </c>
      <c r="D11" s="6" t="s">
        <v>343</v>
      </c>
      <c r="E11" s="6" t="s">
        <v>344</v>
      </c>
      <c r="F11" s="6" t="s">
        <v>259</v>
      </c>
      <c r="G11" s="6" t="s">
        <v>345</v>
      </c>
      <c r="H11" s="6" t="s">
        <v>346</v>
      </c>
      <c r="I11" s="6" t="s">
        <v>347</v>
      </c>
      <c r="J11" s="6" t="s">
        <v>348</v>
      </c>
      <c r="K11" s="6" t="s">
        <v>349</v>
      </c>
      <c r="L11" s="6" t="s">
        <v>304</v>
      </c>
      <c r="M11" s="6" t="s">
        <v>350</v>
      </c>
      <c r="N11" s="6" t="s">
        <v>339</v>
      </c>
      <c r="O11" s="22">
        <f t="shared" si="0"/>
        <v>1</v>
      </c>
      <c r="P11" s="6" t="s">
        <v>81</v>
      </c>
      <c r="Q11" s="7" t="s">
        <v>351</v>
      </c>
    </row>
    <row r="12" spans="1:17" ht="92" customHeight="1">
      <c r="A12" s="5" t="s">
        <v>505</v>
      </c>
      <c r="B12" s="6" t="s">
        <v>352</v>
      </c>
      <c r="C12" s="6" t="s">
        <v>353</v>
      </c>
      <c r="D12" s="6" t="s">
        <v>354</v>
      </c>
      <c r="E12" s="6" t="s">
        <v>355</v>
      </c>
      <c r="F12" s="6" t="s">
        <v>259</v>
      </c>
      <c r="G12" s="6" t="s">
        <v>356</v>
      </c>
      <c r="H12" s="6" t="s">
        <v>357</v>
      </c>
      <c r="I12" s="6" t="s">
        <v>358</v>
      </c>
      <c r="J12" s="6" t="s">
        <v>359</v>
      </c>
      <c r="K12" s="6" t="s">
        <v>360</v>
      </c>
      <c r="L12" s="6" t="s">
        <v>304</v>
      </c>
      <c r="M12" s="6" t="s">
        <v>141</v>
      </c>
      <c r="N12" s="6" t="s">
        <v>361</v>
      </c>
      <c r="O12" s="22">
        <f t="shared" si="0"/>
        <v>1</v>
      </c>
      <c r="P12" s="6" t="s">
        <v>81</v>
      </c>
      <c r="Q12" s="7" t="s">
        <v>362</v>
      </c>
    </row>
    <row r="13" spans="1:17" ht="92" customHeight="1">
      <c r="A13" s="5" t="s">
        <v>506</v>
      </c>
      <c r="B13" s="6" t="s">
        <v>363</v>
      </c>
      <c r="C13" s="6" t="s">
        <v>364</v>
      </c>
      <c r="D13" s="6" t="s">
        <v>365</v>
      </c>
      <c r="E13" s="6" t="s">
        <v>366</v>
      </c>
      <c r="F13" s="6" t="s">
        <v>259</v>
      </c>
      <c r="G13" s="6" t="s">
        <v>367</v>
      </c>
      <c r="H13" s="6" t="s">
        <v>368</v>
      </c>
      <c r="I13" s="6" t="s">
        <v>369</v>
      </c>
      <c r="J13" s="6" t="s">
        <v>370</v>
      </c>
      <c r="K13" s="6" t="s">
        <v>371</v>
      </c>
      <c r="L13" s="6" t="s">
        <v>252</v>
      </c>
      <c r="M13" s="6" t="s">
        <v>118</v>
      </c>
      <c r="N13" s="6" t="s">
        <v>361</v>
      </c>
      <c r="O13" s="22">
        <f t="shared" si="0"/>
        <v>1</v>
      </c>
      <c r="P13" s="6" t="s">
        <v>81</v>
      </c>
      <c r="Q13" s="7" t="s">
        <v>372</v>
      </c>
    </row>
    <row r="14" spans="1:17" ht="92" customHeight="1">
      <c r="A14" s="5" t="s">
        <v>507</v>
      </c>
      <c r="B14" s="6" t="s">
        <v>373</v>
      </c>
      <c r="C14" s="6" t="s">
        <v>374</v>
      </c>
      <c r="D14" s="6" t="s">
        <v>375</v>
      </c>
      <c r="E14" s="6" t="s">
        <v>376</v>
      </c>
      <c r="F14" s="6" t="s">
        <v>259</v>
      </c>
      <c r="G14" s="6" t="s">
        <v>377</v>
      </c>
      <c r="H14" s="6" t="s">
        <v>378</v>
      </c>
      <c r="I14" s="6" t="s">
        <v>379</v>
      </c>
      <c r="J14" s="6" t="s">
        <v>380</v>
      </c>
      <c r="K14" s="6" t="s">
        <v>381</v>
      </c>
      <c r="L14" s="6" t="s">
        <v>304</v>
      </c>
      <c r="M14" s="6" t="s">
        <v>382</v>
      </c>
      <c r="N14" s="6" t="s">
        <v>306</v>
      </c>
      <c r="O14" s="22">
        <f t="shared" si="0"/>
        <v>1</v>
      </c>
      <c r="P14" s="6" t="s">
        <v>81</v>
      </c>
      <c r="Q14" s="7" t="s">
        <v>383</v>
      </c>
    </row>
    <row r="15" spans="1:17" ht="92" customHeight="1">
      <c r="A15" s="5" t="s">
        <v>508</v>
      </c>
      <c r="B15" s="6" t="s">
        <v>384</v>
      </c>
      <c r="C15" s="6" t="s">
        <v>385</v>
      </c>
      <c r="D15" s="6" t="s">
        <v>386</v>
      </c>
      <c r="E15" s="6" t="s">
        <v>387</v>
      </c>
      <c r="F15" s="6" t="s">
        <v>259</v>
      </c>
      <c r="G15" s="6" t="s">
        <v>388</v>
      </c>
      <c r="H15" s="6" t="s">
        <v>389</v>
      </c>
      <c r="I15" s="6" t="s">
        <v>390</v>
      </c>
      <c r="J15" s="6" t="s">
        <v>391</v>
      </c>
      <c r="K15" s="6" t="s">
        <v>392</v>
      </c>
      <c r="L15" s="6" t="s">
        <v>304</v>
      </c>
      <c r="M15" s="6" t="s">
        <v>292</v>
      </c>
      <c r="N15" s="6" t="s">
        <v>393</v>
      </c>
      <c r="O15" s="22">
        <f t="shared" si="0"/>
        <v>1</v>
      </c>
      <c r="P15" s="6" t="s">
        <v>81</v>
      </c>
      <c r="Q15" s="7" t="s">
        <v>394</v>
      </c>
    </row>
    <row r="16" spans="1:17" ht="92" customHeight="1">
      <c r="A16" s="5" t="s">
        <v>509</v>
      </c>
      <c r="B16" s="6" t="s">
        <v>395</v>
      </c>
      <c r="C16" s="6" t="s">
        <v>396</v>
      </c>
      <c r="D16" s="6" t="s">
        <v>397</v>
      </c>
      <c r="E16" s="6" t="s">
        <v>398</v>
      </c>
      <c r="F16" s="6" t="s">
        <v>259</v>
      </c>
      <c r="G16" s="6" t="s">
        <v>399</v>
      </c>
      <c r="H16" s="6" t="s">
        <v>400</v>
      </c>
      <c r="I16" s="6" t="s">
        <v>401</v>
      </c>
      <c r="J16" s="6" t="s">
        <v>402</v>
      </c>
      <c r="K16" s="6" t="s">
        <v>403</v>
      </c>
      <c r="L16" s="6" t="s">
        <v>304</v>
      </c>
      <c r="M16" s="6" t="s">
        <v>292</v>
      </c>
      <c r="N16" s="6" t="s">
        <v>404</v>
      </c>
      <c r="O16" s="22">
        <f t="shared" si="0"/>
        <v>1</v>
      </c>
      <c r="P16" s="6" t="s">
        <v>81</v>
      </c>
      <c r="Q16" s="7" t="s">
        <v>405</v>
      </c>
    </row>
    <row r="17" spans="1:17" ht="92" customHeight="1">
      <c r="A17" s="5" t="s">
        <v>510</v>
      </c>
      <c r="B17" s="6" t="s">
        <v>406</v>
      </c>
      <c r="C17" s="6" t="s">
        <v>407</v>
      </c>
      <c r="D17" s="6" t="s">
        <v>408</v>
      </c>
      <c r="E17" s="6" t="s">
        <v>409</v>
      </c>
      <c r="F17" s="6" t="s">
        <v>259</v>
      </c>
      <c r="G17" s="6" t="s">
        <v>410</v>
      </c>
      <c r="H17" s="6" t="s">
        <v>411</v>
      </c>
      <c r="I17" s="6" t="s">
        <v>412</v>
      </c>
      <c r="J17" s="6" t="s">
        <v>413</v>
      </c>
      <c r="K17" s="6" t="s">
        <v>414</v>
      </c>
      <c r="L17" s="6" t="s">
        <v>304</v>
      </c>
      <c r="M17" s="6" t="s">
        <v>292</v>
      </c>
      <c r="N17" s="6" t="s">
        <v>415</v>
      </c>
      <c r="O17" s="22">
        <f t="shared" si="0"/>
        <v>1</v>
      </c>
      <c r="P17" s="6" t="s">
        <v>81</v>
      </c>
      <c r="Q17" s="7" t="s">
        <v>416</v>
      </c>
    </row>
    <row r="18" spans="1:17" ht="92" customHeight="1">
      <c r="A18" s="5" t="s">
        <v>511</v>
      </c>
      <c r="B18" s="6" t="s">
        <v>417</v>
      </c>
      <c r="C18" s="6" t="s">
        <v>418</v>
      </c>
      <c r="D18" s="6" t="s">
        <v>419</v>
      </c>
      <c r="E18" s="6" t="s">
        <v>420</v>
      </c>
      <c r="F18" s="6" t="s">
        <v>259</v>
      </c>
      <c r="G18" s="6" t="s">
        <v>421</v>
      </c>
      <c r="H18" s="6" t="s">
        <v>422</v>
      </c>
      <c r="I18" s="6" t="s">
        <v>423</v>
      </c>
      <c r="J18" s="6" t="s">
        <v>424</v>
      </c>
      <c r="K18" s="6" t="s">
        <v>425</v>
      </c>
      <c r="L18" s="6" t="s">
        <v>252</v>
      </c>
      <c r="M18" s="6" t="s">
        <v>131</v>
      </c>
      <c r="N18" s="6" t="s">
        <v>339</v>
      </c>
      <c r="O18" s="22">
        <f t="shared" si="0"/>
        <v>1</v>
      </c>
      <c r="P18" s="6" t="s">
        <v>81</v>
      </c>
      <c r="Q18" s="7" t="s">
        <v>426</v>
      </c>
    </row>
    <row r="19" spans="1:17" ht="92" customHeight="1">
      <c r="A19" s="5" t="s">
        <v>512</v>
      </c>
      <c r="B19" s="6" t="s">
        <v>427</v>
      </c>
      <c r="C19" s="6" t="s">
        <v>428</v>
      </c>
      <c r="D19" s="6" t="s">
        <v>429</v>
      </c>
      <c r="E19" s="6" t="s">
        <v>430</v>
      </c>
      <c r="F19" s="6" t="s">
        <v>259</v>
      </c>
      <c r="G19" s="6" t="s">
        <v>431</v>
      </c>
      <c r="H19" s="6" t="s">
        <v>432</v>
      </c>
      <c r="I19" s="6" t="s">
        <v>433</v>
      </c>
      <c r="J19" s="6" t="s">
        <v>434</v>
      </c>
      <c r="K19" s="6" t="s">
        <v>435</v>
      </c>
      <c r="L19" s="6" t="s">
        <v>304</v>
      </c>
      <c r="M19" s="6" t="s">
        <v>292</v>
      </c>
      <c r="N19" s="6" t="s">
        <v>436</v>
      </c>
      <c r="O19" s="22">
        <f t="shared" si="0"/>
        <v>1</v>
      </c>
      <c r="P19" s="6" t="s">
        <v>81</v>
      </c>
      <c r="Q19" s="7" t="s">
        <v>437</v>
      </c>
    </row>
    <row r="20" spans="1:17" ht="92" customHeight="1">
      <c r="A20" s="5" t="s">
        <v>513</v>
      </c>
      <c r="B20" s="6" t="s">
        <v>438</v>
      </c>
      <c r="C20" s="6" t="s">
        <v>439</v>
      </c>
      <c r="D20" s="6" t="s">
        <v>440</v>
      </c>
      <c r="E20" s="6" t="s">
        <v>441</v>
      </c>
      <c r="F20" s="6" t="s">
        <v>259</v>
      </c>
      <c r="G20" s="6" t="s">
        <v>442</v>
      </c>
      <c r="H20" s="6" t="s">
        <v>443</v>
      </c>
      <c r="I20" s="6" t="s">
        <v>444</v>
      </c>
      <c r="J20" s="6" t="s">
        <v>445</v>
      </c>
      <c r="K20" s="6" t="s">
        <v>446</v>
      </c>
      <c r="L20" s="6" t="s">
        <v>304</v>
      </c>
      <c r="M20" s="6" t="s">
        <v>292</v>
      </c>
      <c r="N20" s="6" t="s">
        <v>447</v>
      </c>
      <c r="O20" s="22">
        <f t="shared" si="0"/>
        <v>1</v>
      </c>
      <c r="P20" s="6" t="s">
        <v>81</v>
      </c>
      <c r="Q20" s="7" t="s">
        <v>448</v>
      </c>
    </row>
    <row r="21" spans="1:17" ht="92" customHeight="1">
      <c r="A21" s="5" t="s">
        <v>514</v>
      </c>
      <c r="B21" s="6" t="s">
        <v>449</v>
      </c>
      <c r="C21" s="6" t="s">
        <v>450</v>
      </c>
      <c r="D21" s="6" t="s">
        <v>451</v>
      </c>
      <c r="E21" s="6" t="s">
        <v>452</v>
      </c>
      <c r="F21" s="6" t="s">
        <v>259</v>
      </c>
      <c r="G21" s="6" t="s">
        <v>453</v>
      </c>
      <c r="H21" s="6" t="s">
        <v>454</v>
      </c>
      <c r="I21" s="6" t="s">
        <v>455</v>
      </c>
      <c r="J21" s="6" t="s">
        <v>456</v>
      </c>
      <c r="K21" s="6" t="s">
        <v>457</v>
      </c>
      <c r="L21" s="6" t="s">
        <v>304</v>
      </c>
      <c r="M21" s="6" t="s">
        <v>350</v>
      </c>
      <c r="N21" s="6" t="s">
        <v>458</v>
      </c>
      <c r="O21" s="22">
        <f t="shared" si="0"/>
        <v>1</v>
      </c>
      <c r="P21" s="6" t="s">
        <v>81</v>
      </c>
      <c r="Q21" s="7" t="s">
        <v>459</v>
      </c>
    </row>
    <row r="22" spans="1:17" ht="92" customHeight="1">
      <c r="A22" s="5" t="s">
        <v>515</v>
      </c>
      <c r="B22" s="6" t="s">
        <v>460</v>
      </c>
      <c r="C22" s="6" t="s">
        <v>461</v>
      </c>
      <c r="D22" s="6" t="s">
        <v>462</v>
      </c>
      <c r="E22" s="6" t="s">
        <v>463</v>
      </c>
      <c r="F22" s="6" t="s">
        <v>259</v>
      </c>
      <c r="G22" s="6" t="s">
        <v>464</v>
      </c>
      <c r="H22" s="6" t="s">
        <v>465</v>
      </c>
      <c r="I22" s="6" t="s">
        <v>466</v>
      </c>
      <c r="J22" s="6" t="s">
        <v>434</v>
      </c>
      <c r="K22" s="6" t="s">
        <v>467</v>
      </c>
      <c r="L22" s="6" t="s">
        <v>304</v>
      </c>
      <c r="M22" s="6" t="s">
        <v>292</v>
      </c>
      <c r="N22" s="6" t="s">
        <v>447</v>
      </c>
      <c r="O22" s="22">
        <f t="shared" si="0"/>
        <v>1</v>
      </c>
      <c r="P22" s="6" t="s">
        <v>81</v>
      </c>
      <c r="Q22" s="7" t="s">
        <v>468</v>
      </c>
    </row>
    <row r="23" spans="1:17" ht="92" customHeight="1">
      <c r="A23" s="5" t="s">
        <v>516</v>
      </c>
      <c r="B23" s="6" t="s">
        <v>469</v>
      </c>
      <c r="C23" s="6" t="s">
        <v>461</v>
      </c>
      <c r="D23" s="6" t="s">
        <v>470</v>
      </c>
      <c r="E23" s="6" t="s">
        <v>471</v>
      </c>
      <c r="F23" s="6" t="s">
        <v>259</v>
      </c>
      <c r="G23" s="6" t="s">
        <v>472</v>
      </c>
      <c r="H23" s="6" t="s">
        <v>473</v>
      </c>
      <c r="I23" s="6" t="s">
        <v>474</v>
      </c>
      <c r="J23" s="6" t="s">
        <v>475</v>
      </c>
      <c r="K23" s="6" t="s">
        <v>476</v>
      </c>
      <c r="L23" s="6" t="s">
        <v>304</v>
      </c>
      <c r="M23" s="6" t="s">
        <v>292</v>
      </c>
      <c r="N23" s="6" t="s">
        <v>447</v>
      </c>
      <c r="O23" s="22">
        <f t="shared" si="0"/>
        <v>1</v>
      </c>
      <c r="P23" s="6" t="s">
        <v>81</v>
      </c>
      <c r="Q23" s="7" t="s">
        <v>477</v>
      </c>
    </row>
    <row r="24" spans="1:17" ht="92" customHeight="1">
      <c r="A24" s="5" t="s">
        <v>517</v>
      </c>
      <c r="B24" s="6" t="s">
        <v>478</v>
      </c>
      <c r="C24" s="6" t="s">
        <v>479</v>
      </c>
      <c r="D24" s="6" t="s">
        <v>480</v>
      </c>
      <c r="E24" s="6" t="s">
        <v>481</v>
      </c>
      <c r="F24" s="6" t="s">
        <v>259</v>
      </c>
      <c r="G24" s="6" t="s">
        <v>482</v>
      </c>
      <c r="H24" s="6" t="s">
        <v>483</v>
      </c>
      <c r="I24" s="6" t="s">
        <v>484</v>
      </c>
      <c r="J24" s="6" t="s">
        <v>485</v>
      </c>
      <c r="K24" s="6" t="s">
        <v>486</v>
      </c>
      <c r="L24" s="6" t="s">
        <v>304</v>
      </c>
      <c r="M24" s="6" t="s">
        <v>292</v>
      </c>
      <c r="N24" s="6" t="s">
        <v>393</v>
      </c>
      <c r="O24" s="22">
        <f t="shared" si="0"/>
        <v>1</v>
      </c>
      <c r="P24" s="6" t="s">
        <v>81</v>
      </c>
      <c r="Q24" s="7" t="s">
        <v>487</v>
      </c>
    </row>
    <row r="25" spans="1:17" ht="92" customHeight="1">
      <c r="A25" s="5" t="s">
        <v>518</v>
      </c>
      <c r="B25" s="6" t="s">
        <v>488</v>
      </c>
      <c r="C25" s="6" t="s">
        <v>489</v>
      </c>
      <c r="D25" s="6" t="s">
        <v>490</v>
      </c>
      <c r="E25" s="6" t="s">
        <v>491</v>
      </c>
      <c r="F25" s="6" t="s">
        <v>259</v>
      </c>
      <c r="G25" s="6" t="s">
        <v>492</v>
      </c>
      <c r="H25" s="6" t="s">
        <v>493</v>
      </c>
      <c r="I25" s="6" t="s">
        <v>494</v>
      </c>
      <c r="J25" s="6" t="s">
        <v>495</v>
      </c>
      <c r="K25" s="6" t="s">
        <v>496</v>
      </c>
      <c r="L25" s="6" t="s">
        <v>304</v>
      </c>
      <c r="M25" s="6" t="s">
        <v>292</v>
      </c>
      <c r="N25" s="6" t="s">
        <v>497</v>
      </c>
      <c r="O25" s="22">
        <f t="shared" si="0"/>
        <v>1</v>
      </c>
      <c r="P25" s="6" t="s">
        <v>81</v>
      </c>
      <c r="Q25" s="7" t="s">
        <v>498</v>
      </c>
    </row>
    <row r="26" spans="1:17" ht="42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22" t="str">
        <f t="shared" si="0"/>
        <v/>
      </c>
      <c r="P26" s="6"/>
      <c r="Q26" s="7"/>
    </row>
    <row r="27" spans="1:17" ht="42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22" t="str">
        <f t="shared" si="0"/>
        <v/>
      </c>
      <c r="P27" s="6"/>
      <c r="Q27" s="7"/>
    </row>
    <row r="28" spans="1:17" ht="42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2" t="str">
        <f t="shared" si="0"/>
        <v/>
      </c>
      <c r="P28" s="6"/>
      <c r="Q28" s="7"/>
    </row>
    <row r="29" spans="1:17" ht="42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22" t="str">
        <f t="shared" si="0"/>
        <v/>
      </c>
      <c r="P29" s="6"/>
      <c r="Q29" s="7"/>
    </row>
    <row r="30" spans="1:17" ht="42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22" t="str">
        <f t="shared" si="0"/>
        <v/>
      </c>
      <c r="P30" s="6"/>
      <c r="Q30" s="7"/>
    </row>
    <row r="31" spans="1:17" ht="42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2" t="str">
        <f t="shared" si="0"/>
        <v/>
      </c>
      <c r="P31" s="6"/>
      <c r="Q31" s="7"/>
    </row>
    <row r="32" spans="1:17" ht="42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 t="str">
        <f t="shared" si="0"/>
        <v/>
      </c>
      <c r="P32" s="6"/>
      <c r="Q32" s="7"/>
    </row>
    <row r="33" spans="1:17" ht="42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22" t="str">
        <f t="shared" si="0"/>
        <v/>
      </c>
      <c r="P33" s="6"/>
      <c r="Q33" s="7"/>
    </row>
    <row r="34" spans="1:17" ht="42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22" t="str">
        <f t="shared" si="0"/>
        <v/>
      </c>
      <c r="P34" s="6"/>
      <c r="Q34" s="7"/>
    </row>
    <row r="35" spans="1:17" ht="42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23" t="str">
        <f t="shared" si="0"/>
        <v/>
      </c>
      <c r="P35" s="9"/>
      <c r="Q35" s="10"/>
    </row>
  </sheetData>
  <mergeCells count="2">
    <mergeCell ref="A1:Q1"/>
    <mergeCell ref="A2:Q2"/>
  </mergeCells>
  <phoneticPr fontId="6" type="noConversion"/>
  <conditionalFormatting sqref="F6:F35">
    <cfRule type="containsText" dxfId="22" priority="4" operator="containsText" text="Model-ready"/>
    <cfRule type="containsText" dxfId="21" priority="5" operator="containsText" text="Application-ready"/>
    <cfRule type="containsText" dxfId="20" priority="6" operator="containsText" text="需补充"/>
    <cfRule type="containsText" dxfId="19" priority="7" operator="containsText" text="未评估"/>
    <cfRule type="containsText" dxfId="18" priority="8" operator="containsText" text="不可用"/>
  </conditionalFormatting>
  <conditionalFormatting sqref="O6:O35">
    <cfRule type="expression" dxfId="17" priority="1">
      <formula>AND($A6&lt;&gt;"",$O6&lt;0.5)</formula>
    </cfRule>
    <cfRule type="expression" dxfId="16" priority="2">
      <formula>AND($A6&lt;&gt;"",$O6&gt;=0.5,$O6&lt;0.8)</formula>
    </cfRule>
    <cfRule type="expression" dxfId="15" priority="3">
      <formula>AND($A6&lt;&gt;"",$O6&gt;=0.8)</formula>
    </cfRule>
  </conditionalFormatting>
  <conditionalFormatting sqref="P6:P35">
    <cfRule type="containsText" dxfId="14" priority="9" operator="containsText" text="Model-ready"/>
    <cfRule type="containsText" dxfId="13" priority="10" operator="containsText" text="Application-ready"/>
    <cfRule type="containsText" dxfId="12" priority="11" operator="containsText" text="需补充"/>
    <cfRule type="containsText" dxfId="11" priority="12" operator="containsText" text="未评估"/>
    <cfRule type="containsText" dxfId="10" priority="13" operator="containsText" text="不可用"/>
  </conditionalFormatting>
  <dataValidations count="4">
    <dataValidation type="list" sqref="E6:E35" xr:uid="{00000000-0002-0000-0100-000000000000}">
      <formula1>"基因组,基因结构/注释,重复序列,转录组,蛋白组,单细胞,空间转录组,scATAC,代谢组,表型,环境,多模态,其他"</formula1>
    </dataValidation>
    <dataValidation type="list" sqref="F6:F35" xr:uid="{00000000-0002-0000-0100-000001000000}">
      <formula1>"Raw,QC,Annotated,Model-ready,Application-ready,待核验"</formula1>
    </dataValidation>
    <dataValidation type="list" sqref="L6:L35" xr:uid="{00000000-0002-0000-0100-000002000000}">
      <formula1>"公开,内部可用,需审批,需VPN,受限/待确认,不适用"</formula1>
    </dataValidation>
    <dataValidation type="list" sqref="P6:P35" xr:uid="{00000000-0002-0000-0100-000003000000}">
      <formula1>"未评估,候选,需补充,Model-ready,Application-ready,不可用/暂不纳入"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showGridLines="0" workbookViewId="0"/>
  </sheetViews>
  <sheetFormatPr baseColWidth="10" defaultColWidth="8.83203125" defaultRowHeight="14"/>
  <cols>
    <col min="1" max="2" width="12" customWidth="1"/>
    <col min="3" max="3" width="25" customWidth="1"/>
    <col min="4" max="4" width="34" customWidth="1"/>
    <col min="5" max="6" width="22" customWidth="1"/>
    <col min="7" max="7" width="20" customWidth="1"/>
    <col min="8" max="8" width="24" customWidth="1"/>
    <col min="9" max="9" width="28" customWidth="1"/>
    <col min="10" max="10" width="18" customWidth="1"/>
    <col min="11" max="11" width="28" customWidth="1"/>
    <col min="12" max="12" width="10" customWidth="1"/>
    <col min="13" max="13" width="20" customWidth="1"/>
    <col min="14" max="14" width="12" customWidth="1"/>
    <col min="15" max="15" width="28" customWidth="1"/>
  </cols>
  <sheetData>
    <row r="1" spans="1:15" ht="30" customHeight="1">
      <c r="A1" s="27" t="s">
        <v>101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34" customHeight="1">
      <c r="A2" s="28" t="s">
        <v>102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5" spans="1:15" ht="34" customHeight="1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22</v>
      </c>
      <c r="M5" s="1" t="s">
        <v>114</v>
      </c>
      <c r="N5" s="1" t="s">
        <v>115</v>
      </c>
      <c r="O5" s="1" t="s">
        <v>116</v>
      </c>
    </row>
    <row r="6" spans="1:15" ht="48" customHeight="1">
      <c r="A6" s="12" t="s">
        <v>117</v>
      </c>
      <c r="B6" s="13" t="s">
        <v>118</v>
      </c>
      <c r="C6" s="13" t="s">
        <v>119</v>
      </c>
      <c r="D6" s="13" t="s">
        <v>120</v>
      </c>
      <c r="E6" s="13" t="s">
        <v>121</v>
      </c>
      <c r="F6" s="13" t="s">
        <v>122</v>
      </c>
      <c r="G6" s="13" t="s">
        <v>123</v>
      </c>
      <c r="H6" s="13" t="s">
        <v>124</v>
      </c>
      <c r="I6" s="13" t="s">
        <v>125</v>
      </c>
      <c r="J6" s="13" t="s">
        <v>126</v>
      </c>
      <c r="K6" s="13" t="s">
        <v>127</v>
      </c>
      <c r="L6" s="13" t="s">
        <v>128</v>
      </c>
      <c r="M6" s="13" t="s">
        <v>48</v>
      </c>
      <c r="N6" s="13" t="s">
        <v>129</v>
      </c>
      <c r="O6" s="14" t="s">
        <v>130</v>
      </c>
    </row>
    <row r="7" spans="1:15" ht="48" customHeight="1">
      <c r="A7" s="15" t="s">
        <v>117</v>
      </c>
      <c r="B7" s="16" t="s">
        <v>131</v>
      </c>
      <c r="C7" s="16" t="s">
        <v>132</v>
      </c>
      <c r="D7" s="16" t="s">
        <v>133</v>
      </c>
      <c r="E7" s="16" t="s">
        <v>121</v>
      </c>
      <c r="F7" s="16" t="s">
        <v>134</v>
      </c>
      <c r="G7" s="16" t="s">
        <v>135</v>
      </c>
      <c r="H7" s="16" t="s">
        <v>136</v>
      </c>
      <c r="I7" s="16" t="s">
        <v>137</v>
      </c>
      <c r="J7" s="16" t="s">
        <v>138</v>
      </c>
      <c r="K7" s="16" t="s">
        <v>139</v>
      </c>
      <c r="L7" s="16" t="s">
        <v>128</v>
      </c>
      <c r="M7" s="16" t="s">
        <v>48</v>
      </c>
      <c r="N7" s="16" t="s">
        <v>129</v>
      </c>
      <c r="O7" s="17" t="s">
        <v>140</v>
      </c>
    </row>
    <row r="8" spans="1:15" ht="48" customHeight="1">
      <c r="A8" s="15" t="s">
        <v>117</v>
      </c>
      <c r="B8" s="16" t="s">
        <v>141</v>
      </c>
      <c r="C8" s="16" t="s">
        <v>142</v>
      </c>
      <c r="D8" s="16" t="s">
        <v>143</v>
      </c>
      <c r="E8" s="16" t="s">
        <v>121</v>
      </c>
      <c r="F8" s="16" t="s">
        <v>144</v>
      </c>
      <c r="G8" s="16" t="s">
        <v>145</v>
      </c>
      <c r="H8" s="16" t="s">
        <v>146</v>
      </c>
      <c r="I8" s="16" t="s">
        <v>147</v>
      </c>
      <c r="J8" s="16" t="s">
        <v>148</v>
      </c>
      <c r="K8" s="16" t="s">
        <v>149</v>
      </c>
      <c r="L8" s="16" t="s">
        <v>150</v>
      </c>
      <c r="M8" s="16" t="s">
        <v>151</v>
      </c>
      <c r="N8" s="16" t="s">
        <v>129</v>
      </c>
      <c r="O8" s="17" t="s">
        <v>152</v>
      </c>
    </row>
    <row r="9" spans="1:15" ht="48" customHeight="1">
      <c r="A9" s="15" t="s">
        <v>117</v>
      </c>
      <c r="B9" s="16" t="s">
        <v>153</v>
      </c>
      <c r="C9" s="16" t="s">
        <v>154</v>
      </c>
      <c r="D9" s="16" t="s">
        <v>155</v>
      </c>
      <c r="E9" s="16" t="s">
        <v>121</v>
      </c>
      <c r="F9" s="16" t="s">
        <v>156</v>
      </c>
      <c r="G9" s="16" t="s">
        <v>157</v>
      </c>
      <c r="H9" s="16" t="s">
        <v>158</v>
      </c>
      <c r="I9" s="16" t="s">
        <v>159</v>
      </c>
      <c r="J9" s="16" t="s">
        <v>160</v>
      </c>
      <c r="K9" s="16" t="s">
        <v>161</v>
      </c>
      <c r="L9" s="16" t="s">
        <v>150</v>
      </c>
      <c r="M9" s="16" t="s">
        <v>162</v>
      </c>
      <c r="N9" s="16" t="s">
        <v>129</v>
      </c>
      <c r="O9" s="17" t="s">
        <v>163</v>
      </c>
    </row>
    <row r="10" spans="1:15" ht="48" customHeight="1">
      <c r="A10" s="5" t="s">
        <v>164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5" ht="48" customHeight="1">
      <c r="A11" s="5" t="s">
        <v>164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5" ht="48" customHeight="1">
      <c r="A12" s="5" t="s">
        <v>164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spans="1:15" ht="48" customHeight="1">
      <c r="A13" s="5" t="s">
        <v>164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5" ht="48" customHeight="1">
      <c r="A14" s="5" t="s">
        <v>164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5" ht="48" customHeight="1">
      <c r="A15" s="5" t="s">
        <v>164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ht="48" customHeight="1">
      <c r="A16" s="5" t="s">
        <v>164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1:15" ht="48" customHeight="1">
      <c r="A17" s="5" t="s">
        <v>164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ht="48" customHeight="1">
      <c r="A18" s="5" t="s">
        <v>164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19" spans="1:15" ht="48" customHeight="1">
      <c r="A19" s="5" t="s">
        <v>164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ht="48" customHeight="1">
      <c r="A20" s="5" t="s">
        <v>164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1:15" ht="48" customHeight="1">
      <c r="A21" s="5" t="s">
        <v>164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</row>
    <row r="22" spans="1:15" ht="48" customHeight="1">
      <c r="A22" s="5" t="s">
        <v>164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1:15" ht="48" customHeight="1">
      <c r="A23" s="5" t="s">
        <v>164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5" ht="48" customHeight="1">
      <c r="A24" s="5" t="s">
        <v>164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</row>
    <row r="25" spans="1:15" ht="48" customHeight="1">
      <c r="A25" s="8" t="s">
        <v>164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</row>
  </sheetData>
  <mergeCells count="2">
    <mergeCell ref="A1:O1"/>
    <mergeCell ref="A2:O2"/>
  </mergeCells>
  <phoneticPr fontId="6" type="noConversion"/>
  <conditionalFormatting sqref="N6:N25">
    <cfRule type="containsText" dxfId="9" priority="1" operator="containsText" text="Model-ready"/>
    <cfRule type="containsText" dxfId="8" priority="2" operator="containsText" text="Application-ready"/>
    <cfRule type="containsText" dxfId="7" priority="3" operator="containsText" text="需补充"/>
    <cfRule type="containsText" dxfId="6" priority="4" operator="containsText" text="未评估"/>
    <cfRule type="containsText" dxfId="5" priority="5" operator="containsText" text="不可用"/>
  </conditionalFormatting>
  <dataValidations count="5">
    <dataValidation type="list" sqref="A6:A25" xr:uid="{00000000-0002-0000-0200-000000000000}">
      <formula1>"参考示例,正式需求"</formula1>
    </dataValidation>
    <dataValidation type="list" sqref="F6:F9" xr:uid="{00000000-0002-0000-0200-000001000000}">
      <formula1>"基因组,基因结构/注释,转录组,单细胞,空间组学,表型,环境,多模态,其他"</formula1>
    </dataValidation>
    <dataValidation type="list" sqref="L6:L25" xr:uid="{00000000-0002-0000-0200-000002000000}">
      <formula1>"P0,P1,P2"</formula1>
    </dataValidation>
    <dataValidation type="list" sqref="N6:N25" xr:uid="{00000000-0002-0000-0200-000003000000}">
      <formula1>"待确认,收集中,已定义,已验证,暂停"</formula1>
    </dataValidation>
    <dataValidation type="list" sqref="F10:F25" xr:uid="{00000000-0002-0000-0200-000004000000}">
      <formula1>"基因组,基因结构/注释,bulk转录组,单细胞转录组,单细胞ATAC,空间组学,表型,环境,多模态,其他"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showGridLines="0" workbookViewId="0"/>
  </sheetViews>
  <sheetFormatPr baseColWidth="10" defaultColWidth="8.83203125" defaultRowHeight="14"/>
  <cols>
    <col min="1" max="1" width="12" customWidth="1"/>
    <col min="2" max="2" width="14" customWidth="1"/>
    <col min="3" max="4" width="16" customWidth="1"/>
    <col min="5" max="5" width="24" customWidth="1"/>
    <col min="6" max="7" width="16" customWidth="1"/>
    <col min="8" max="8" width="18" customWidth="1"/>
    <col min="9" max="10" width="28" customWidth="1"/>
    <col min="11" max="11" width="26" customWidth="1"/>
    <col min="12" max="12" width="16" customWidth="1"/>
    <col min="13" max="14" width="14" customWidth="1"/>
  </cols>
  <sheetData>
    <row r="1" spans="1:14" ht="30" customHeight="1">
      <c r="A1" s="27" t="s">
        <v>165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34" customHeight="1">
      <c r="A2" s="28" t="s">
        <v>166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5" spans="1:14" ht="34" customHeight="1">
      <c r="A5" s="11" t="s">
        <v>103</v>
      </c>
      <c r="B5" s="11" t="s">
        <v>167</v>
      </c>
      <c r="C5" s="11" t="s">
        <v>85</v>
      </c>
      <c r="D5" s="11" t="s">
        <v>168</v>
      </c>
      <c r="E5" s="11" t="s">
        <v>169</v>
      </c>
      <c r="F5" s="11" t="s">
        <v>170</v>
      </c>
      <c r="G5" s="11" t="s">
        <v>171</v>
      </c>
      <c r="H5" s="11" t="s">
        <v>172</v>
      </c>
      <c r="I5" s="11" t="s">
        <v>173</v>
      </c>
      <c r="J5" s="11" t="s">
        <v>174</v>
      </c>
      <c r="K5" s="11" t="s">
        <v>175</v>
      </c>
      <c r="L5" s="11" t="s">
        <v>176</v>
      </c>
      <c r="M5" s="11" t="s">
        <v>177</v>
      </c>
      <c r="N5" s="11" t="s">
        <v>178</v>
      </c>
    </row>
    <row r="6" spans="1:14" ht="46" customHeight="1">
      <c r="A6" s="12" t="s">
        <v>117</v>
      </c>
      <c r="B6" s="13" t="s">
        <v>179</v>
      </c>
      <c r="C6" s="13" t="s">
        <v>180</v>
      </c>
      <c r="D6" s="13" t="s">
        <v>181</v>
      </c>
      <c r="E6" s="13" t="s">
        <v>182</v>
      </c>
      <c r="F6" s="13" t="s">
        <v>183</v>
      </c>
      <c r="G6" s="13" t="s">
        <v>183</v>
      </c>
      <c r="H6" s="13" t="s">
        <v>183</v>
      </c>
      <c r="I6" s="13" t="s">
        <v>184</v>
      </c>
      <c r="J6" s="13" t="s">
        <v>185</v>
      </c>
      <c r="K6" s="13" t="s">
        <v>186</v>
      </c>
      <c r="L6" s="13" t="s">
        <v>187</v>
      </c>
      <c r="M6" s="24"/>
      <c r="N6" s="14" t="s">
        <v>188</v>
      </c>
    </row>
    <row r="7" spans="1:14" ht="46" customHeight="1">
      <c r="A7" s="5" t="s">
        <v>189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25"/>
      <c r="N7" s="7"/>
    </row>
    <row r="8" spans="1:14" ht="46" customHeight="1">
      <c r="A8" s="5" t="s">
        <v>189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25"/>
      <c r="N8" s="7"/>
    </row>
    <row r="9" spans="1:14" ht="46" customHeight="1">
      <c r="A9" s="5" t="s">
        <v>189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25"/>
      <c r="N9" s="7"/>
    </row>
    <row r="10" spans="1:14" ht="46" customHeight="1">
      <c r="A10" s="5" t="s">
        <v>189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5"/>
      <c r="N10" s="7"/>
    </row>
    <row r="11" spans="1:14" ht="46" customHeight="1">
      <c r="A11" s="5" t="s">
        <v>189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25"/>
      <c r="N11" s="7"/>
    </row>
    <row r="12" spans="1:14" ht="46" customHeight="1">
      <c r="A12" s="5" t="s">
        <v>189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5"/>
      <c r="N12" s="7"/>
    </row>
    <row r="13" spans="1:14" ht="46" customHeight="1">
      <c r="A13" s="5" t="s">
        <v>189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25"/>
      <c r="N13" s="7"/>
    </row>
    <row r="14" spans="1:14" ht="46" customHeight="1">
      <c r="A14" s="5" t="s">
        <v>189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25"/>
      <c r="N14" s="7"/>
    </row>
    <row r="15" spans="1:14" ht="46" customHeight="1">
      <c r="A15" s="5" t="s">
        <v>189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25"/>
      <c r="N15" s="7"/>
    </row>
    <row r="16" spans="1:14" ht="46" customHeight="1">
      <c r="A16" s="5" t="s">
        <v>189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25"/>
      <c r="N16" s="7"/>
    </row>
    <row r="17" spans="1:14" ht="46" customHeight="1">
      <c r="A17" s="5" t="s">
        <v>189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5"/>
      <c r="N17" s="7"/>
    </row>
    <row r="18" spans="1:14" ht="46" customHeight="1">
      <c r="A18" s="5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25"/>
      <c r="N18" s="7"/>
    </row>
    <row r="19" spans="1:14" ht="46" customHeight="1">
      <c r="A19" s="5" t="s">
        <v>189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25"/>
      <c r="N19" s="7"/>
    </row>
    <row r="20" spans="1:14" ht="46" customHeight="1">
      <c r="A20" s="5" t="s">
        <v>189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25"/>
      <c r="N20" s="7"/>
    </row>
    <row r="21" spans="1:14" ht="46" customHeight="1">
      <c r="A21" s="5" t="s">
        <v>189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25"/>
      <c r="N21" s="7"/>
    </row>
    <row r="22" spans="1:14" ht="46" customHeight="1">
      <c r="A22" s="5" t="s">
        <v>189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25"/>
      <c r="N22" s="7"/>
    </row>
    <row r="23" spans="1:14" ht="46" customHeight="1">
      <c r="A23" s="5" t="s">
        <v>189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25"/>
      <c r="N23" s="7"/>
    </row>
    <row r="24" spans="1:14" ht="46" customHeight="1">
      <c r="A24" s="5" t="s">
        <v>189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25"/>
      <c r="N24" s="7"/>
    </row>
    <row r="25" spans="1:14" ht="46" customHeight="1">
      <c r="A25" s="8" t="s">
        <v>189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26"/>
      <c r="N25" s="10"/>
    </row>
  </sheetData>
  <mergeCells count="2">
    <mergeCell ref="A1:N1"/>
    <mergeCell ref="A2:N2"/>
  </mergeCells>
  <phoneticPr fontId="6" type="noConversion"/>
  <conditionalFormatting sqref="N6:N25">
    <cfRule type="containsText" dxfId="4" priority="1" operator="containsText" text="Model-ready"/>
    <cfRule type="containsText" dxfId="3" priority="2" operator="containsText" text="Application-ready"/>
    <cfRule type="containsText" dxfId="2" priority="3" operator="containsText" text="需补充"/>
    <cfRule type="containsText" dxfId="1" priority="4" operator="containsText" text="未评估"/>
    <cfRule type="containsText" dxfId="0" priority="5" operator="containsText" text="不可用"/>
  </conditionalFormatting>
  <dataValidations count="3">
    <dataValidation type="list" sqref="A6:A25" xr:uid="{00000000-0002-0000-0300-000000000000}">
      <formula1>"参考示例,正式验证"</formula1>
    </dataValidation>
    <dataValidation type="list" sqref="F6:H25" xr:uid="{00000000-0002-0000-0300-000001000000}">
      <formula1>"通过,部分通过,不通过,待核验,不适用"</formula1>
    </dataValidation>
    <dataValidation type="list" sqref="N6:N25" xr:uid="{00000000-0002-0000-0300-000002000000}">
      <formula1>"未评估,通过,需补充,不通过,暂缓"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workbookViewId="0"/>
  </sheetViews>
  <sheetFormatPr baseColWidth="10" defaultColWidth="8.83203125" defaultRowHeight="14"/>
  <cols>
    <col min="1" max="1" width="22" customWidth="1"/>
    <col min="2" max="2" width="24" customWidth="1"/>
    <col min="3" max="3" width="34" customWidth="1"/>
    <col min="4" max="4" width="22" customWidth="1"/>
    <col min="5" max="5" width="28" customWidth="1"/>
    <col min="6" max="6" width="38" customWidth="1"/>
    <col min="7" max="7" width="14" customWidth="1"/>
  </cols>
  <sheetData>
    <row r="1" spans="1:7" ht="30" customHeight="1">
      <c r="A1" s="27" t="s">
        <v>190</v>
      </c>
      <c r="B1" s="27"/>
      <c r="C1" s="27"/>
      <c r="D1" s="27"/>
      <c r="E1" s="27"/>
      <c r="F1" s="27"/>
      <c r="G1" s="27"/>
    </row>
    <row r="2" spans="1:7" ht="34" customHeight="1">
      <c r="A2" s="28" t="s">
        <v>191</v>
      </c>
      <c r="B2" s="28"/>
      <c r="C2" s="28"/>
      <c r="D2" s="28"/>
      <c r="E2" s="28"/>
      <c r="F2" s="28"/>
      <c r="G2" s="28"/>
    </row>
    <row r="5" spans="1:7" ht="34" customHeight="1">
      <c r="A5" s="1" t="s">
        <v>192</v>
      </c>
      <c r="B5" s="1" t="s">
        <v>193</v>
      </c>
      <c r="C5" s="1" t="s">
        <v>194</v>
      </c>
      <c r="D5" s="1" t="s">
        <v>195</v>
      </c>
      <c r="E5" s="1" t="s">
        <v>196</v>
      </c>
      <c r="F5" s="1" t="s">
        <v>197</v>
      </c>
      <c r="G5" s="1" t="s">
        <v>198</v>
      </c>
    </row>
    <row r="6" spans="1:7" ht="38" customHeight="1">
      <c r="A6" s="2" t="s">
        <v>199</v>
      </c>
      <c r="B6" s="3" t="s">
        <v>104</v>
      </c>
      <c r="C6" s="3" t="s">
        <v>200</v>
      </c>
      <c r="D6" s="3" t="s">
        <v>48</v>
      </c>
      <c r="E6" s="3" t="s">
        <v>201</v>
      </c>
      <c r="F6" s="3" t="s">
        <v>202</v>
      </c>
      <c r="G6" s="4" t="s">
        <v>203</v>
      </c>
    </row>
    <row r="7" spans="1:7" ht="38" customHeight="1">
      <c r="A7" s="5" t="s">
        <v>199</v>
      </c>
      <c r="B7" s="6" t="s">
        <v>204</v>
      </c>
      <c r="C7" s="6" t="s">
        <v>205</v>
      </c>
      <c r="D7" s="6" t="s">
        <v>48</v>
      </c>
      <c r="E7" s="6" t="s">
        <v>206</v>
      </c>
      <c r="F7" s="6" t="s">
        <v>207</v>
      </c>
      <c r="G7" s="7" t="s">
        <v>203</v>
      </c>
    </row>
    <row r="8" spans="1:7" ht="38" customHeight="1">
      <c r="A8" s="5" t="s">
        <v>199</v>
      </c>
      <c r="B8" s="6" t="s">
        <v>110</v>
      </c>
      <c r="C8" s="6" t="s">
        <v>208</v>
      </c>
      <c r="D8" s="6" t="s">
        <v>209</v>
      </c>
      <c r="E8" s="6" t="s">
        <v>210</v>
      </c>
      <c r="F8" s="6" t="s">
        <v>211</v>
      </c>
      <c r="G8" s="7" t="s">
        <v>203</v>
      </c>
    </row>
    <row r="9" spans="1:7" ht="38" customHeight="1">
      <c r="A9" s="5" t="s">
        <v>199</v>
      </c>
      <c r="B9" s="6" t="s">
        <v>111</v>
      </c>
      <c r="C9" s="6" t="s">
        <v>212</v>
      </c>
      <c r="D9" s="6" t="s">
        <v>48</v>
      </c>
      <c r="E9" s="6" t="s">
        <v>213</v>
      </c>
      <c r="F9" s="6" t="s">
        <v>214</v>
      </c>
      <c r="G9" s="7" t="s">
        <v>203</v>
      </c>
    </row>
    <row r="10" spans="1:7" ht="38" customHeight="1">
      <c r="A10" s="5" t="s">
        <v>42</v>
      </c>
      <c r="B10" s="6" t="s">
        <v>85</v>
      </c>
      <c r="C10" s="6" t="s">
        <v>215</v>
      </c>
      <c r="D10" s="6" t="s">
        <v>40</v>
      </c>
      <c r="E10" s="6" t="s">
        <v>216</v>
      </c>
      <c r="F10" s="6" t="s">
        <v>217</v>
      </c>
      <c r="G10" s="7" t="s">
        <v>203</v>
      </c>
    </row>
    <row r="11" spans="1:7" ht="38" customHeight="1">
      <c r="A11" s="5" t="s">
        <v>42</v>
      </c>
      <c r="B11" s="6" t="s">
        <v>90</v>
      </c>
      <c r="C11" s="6" t="s">
        <v>218</v>
      </c>
      <c r="D11" s="6" t="s">
        <v>40</v>
      </c>
      <c r="E11" s="6" t="s">
        <v>219</v>
      </c>
      <c r="F11" s="6" t="s">
        <v>220</v>
      </c>
      <c r="G11" s="7" t="s">
        <v>203</v>
      </c>
    </row>
    <row r="12" spans="1:7" ht="38" customHeight="1">
      <c r="A12" s="5" t="s">
        <v>42</v>
      </c>
      <c r="B12" s="6" t="s">
        <v>92</v>
      </c>
      <c r="C12" s="6" t="s">
        <v>221</v>
      </c>
      <c r="D12" s="6" t="s">
        <v>40</v>
      </c>
      <c r="E12" s="6" t="s">
        <v>222</v>
      </c>
      <c r="F12" s="6" t="s">
        <v>223</v>
      </c>
      <c r="G12" s="7" t="s">
        <v>203</v>
      </c>
    </row>
    <row r="13" spans="1:7" ht="38" customHeight="1">
      <c r="A13" s="5" t="s">
        <v>42</v>
      </c>
      <c r="B13" s="6" t="s">
        <v>93</v>
      </c>
      <c r="C13" s="6" t="s">
        <v>224</v>
      </c>
      <c r="D13" s="6" t="s">
        <v>225</v>
      </c>
      <c r="E13" s="6" t="s">
        <v>226</v>
      </c>
      <c r="F13" s="6" t="s">
        <v>227</v>
      </c>
      <c r="G13" s="7" t="s">
        <v>203</v>
      </c>
    </row>
    <row r="14" spans="1:7" ht="38" customHeight="1">
      <c r="A14" s="5" t="s">
        <v>42</v>
      </c>
      <c r="B14" s="6" t="s">
        <v>96</v>
      </c>
      <c r="C14" s="6" t="s">
        <v>228</v>
      </c>
      <c r="D14" s="6" t="s">
        <v>40</v>
      </c>
      <c r="E14" s="6" t="s">
        <v>229</v>
      </c>
      <c r="F14" s="6" t="s">
        <v>230</v>
      </c>
      <c r="G14" s="7" t="s">
        <v>203</v>
      </c>
    </row>
    <row r="15" spans="1:7" ht="38" customHeight="1">
      <c r="A15" s="5" t="s">
        <v>42</v>
      </c>
      <c r="B15" s="6" t="s">
        <v>99</v>
      </c>
      <c r="C15" s="6" t="s">
        <v>231</v>
      </c>
      <c r="D15" s="6" t="s">
        <v>48</v>
      </c>
      <c r="E15" s="6" t="s">
        <v>232</v>
      </c>
      <c r="F15" s="6" t="s">
        <v>233</v>
      </c>
      <c r="G15" s="7" t="s">
        <v>203</v>
      </c>
    </row>
    <row r="16" spans="1:7" ht="38" customHeight="1">
      <c r="A16" s="5" t="s">
        <v>234</v>
      </c>
      <c r="B16" s="6" t="s">
        <v>169</v>
      </c>
      <c r="C16" s="6" t="s">
        <v>235</v>
      </c>
      <c r="D16" s="6" t="s">
        <v>236</v>
      </c>
      <c r="E16" s="6" t="s">
        <v>237</v>
      </c>
      <c r="F16" s="6" t="s">
        <v>238</v>
      </c>
      <c r="G16" s="7" t="s">
        <v>203</v>
      </c>
    </row>
    <row r="17" spans="1:7" ht="38" customHeight="1">
      <c r="A17" s="5" t="s">
        <v>234</v>
      </c>
      <c r="B17" s="6" t="s">
        <v>172</v>
      </c>
      <c r="C17" s="6" t="s">
        <v>239</v>
      </c>
      <c r="D17" s="6" t="s">
        <v>209</v>
      </c>
      <c r="E17" s="6" t="s">
        <v>240</v>
      </c>
      <c r="F17" s="6" t="s">
        <v>241</v>
      </c>
      <c r="G17" s="7" t="s">
        <v>203</v>
      </c>
    </row>
    <row r="18" spans="1:7" ht="38" customHeight="1">
      <c r="A18" s="5" t="s">
        <v>234</v>
      </c>
      <c r="B18" s="6" t="s">
        <v>173</v>
      </c>
      <c r="C18" s="6" t="s">
        <v>242</v>
      </c>
      <c r="D18" s="6" t="s">
        <v>48</v>
      </c>
      <c r="E18" s="6" t="s">
        <v>243</v>
      </c>
      <c r="F18" s="6" t="s">
        <v>244</v>
      </c>
      <c r="G18" s="7" t="s">
        <v>203</v>
      </c>
    </row>
    <row r="19" spans="1:7" ht="38" customHeight="1">
      <c r="A19" s="8" t="s">
        <v>234</v>
      </c>
      <c r="B19" s="9" t="s">
        <v>178</v>
      </c>
      <c r="C19" s="9" t="s">
        <v>245</v>
      </c>
      <c r="D19" s="9" t="s">
        <v>48</v>
      </c>
      <c r="E19" s="9" t="s">
        <v>246</v>
      </c>
      <c r="F19" s="9" t="s">
        <v>247</v>
      </c>
      <c r="G19" s="10" t="s">
        <v>203</v>
      </c>
    </row>
  </sheetData>
  <mergeCells count="2">
    <mergeCell ref="A1:G1"/>
    <mergeCell ref="A2:G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showGridLines="0" workbookViewId="0"/>
  </sheetViews>
  <sheetFormatPr baseColWidth="10" defaultColWidth="8.83203125" defaultRowHeight="14"/>
  <cols>
    <col min="1" max="1" width="16" customWidth="1"/>
    <col min="2" max="2" width="18" customWidth="1"/>
    <col min="3" max="3" width="22" customWidth="1"/>
    <col min="4" max="4" width="12" customWidth="1"/>
    <col min="5" max="5" width="16" customWidth="1"/>
    <col min="6" max="6" width="18" customWidth="1"/>
    <col min="7" max="7" width="20" customWidth="1"/>
  </cols>
  <sheetData>
    <row r="1" spans="1:7" ht="30" customHeight="1">
      <c r="A1" s="27" t="s">
        <v>248</v>
      </c>
      <c r="B1" s="27"/>
      <c r="C1" s="27"/>
      <c r="D1" s="27"/>
      <c r="E1" s="27"/>
      <c r="F1" s="27"/>
      <c r="G1" s="27"/>
    </row>
    <row r="2" spans="1:7" ht="34" customHeight="1">
      <c r="A2" s="1" t="s">
        <v>103</v>
      </c>
      <c r="B2" s="1" t="s">
        <v>90</v>
      </c>
      <c r="C2" s="1" t="s">
        <v>249</v>
      </c>
      <c r="D2" s="1" t="s">
        <v>22</v>
      </c>
      <c r="E2" s="1" t="s">
        <v>178</v>
      </c>
      <c r="F2" s="1" t="s">
        <v>250</v>
      </c>
      <c r="G2" s="1" t="s">
        <v>204</v>
      </c>
    </row>
    <row r="3" spans="1:7" ht="15">
      <c r="A3" s="2" t="s">
        <v>117</v>
      </c>
      <c r="B3" s="3" t="s">
        <v>251</v>
      </c>
      <c r="C3" s="3" t="s">
        <v>188</v>
      </c>
      <c r="D3" s="3" t="s">
        <v>128</v>
      </c>
      <c r="E3" s="3" t="s">
        <v>188</v>
      </c>
      <c r="F3" s="3" t="s">
        <v>252</v>
      </c>
      <c r="G3" s="4" t="s">
        <v>253</v>
      </c>
    </row>
    <row r="4" spans="1:7" ht="15">
      <c r="A4" s="5" t="s">
        <v>164</v>
      </c>
      <c r="B4" s="6" t="s">
        <v>254</v>
      </c>
      <c r="C4" s="6" t="s">
        <v>255</v>
      </c>
      <c r="D4" s="6" t="s">
        <v>150</v>
      </c>
      <c r="E4" s="6" t="s">
        <v>256</v>
      </c>
      <c r="F4" s="6" t="s">
        <v>257</v>
      </c>
      <c r="G4" s="7" t="s">
        <v>258</v>
      </c>
    </row>
    <row r="5" spans="1:7" ht="15">
      <c r="A5" s="5"/>
      <c r="B5" s="6" t="s">
        <v>259</v>
      </c>
      <c r="C5" s="6" t="s">
        <v>81</v>
      </c>
      <c r="D5" s="6" t="s">
        <v>260</v>
      </c>
      <c r="E5" s="6" t="s">
        <v>81</v>
      </c>
      <c r="F5" s="6" t="s">
        <v>261</v>
      </c>
      <c r="G5" s="7" t="s">
        <v>262</v>
      </c>
    </row>
    <row r="6" spans="1:7" ht="15">
      <c r="A6" s="5"/>
      <c r="B6" s="6" t="s">
        <v>80</v>
      </c>
      <c r="C6" s="6" t="s">
        <v>80</v>
      </c>
      <c r="D6" s="6"/>
      <c r="E6" s="6" t="s">
        <v>263</v>
      </c>
      <c r="F6" s="6" t="s">
        <v>264</v>
      </c>
      <c r="G6" s="7" t="s">
        <v>265</v>
      </c>
    </row>
    <row r="7" spans="1:7" ht="15">
      <c r="A7" s="5"/>
      <c r="B7" s="6" t="s">
        <v>266</v>
      </c>
      <c r="C7" s="6" t="s">
        <v>266</v>
      </c>
      <c r="D7" s="6"/>
      <c r="E7" s="6" t="s">
        <v>267</v>
      </c>
      <c r="F7" s="6" t="s">
        <v>268</v>
      </c>
      <c r="G7" s="7" t="s">
        <v>269</v>
      </c>
    </row>
    <row r="8" spans="1:7" ht="15">
      <c r="A8" s="5"/>
      <c r="B8" s="6" t="s">
        <v>183</v>
      </c>
      <c r="C8" s="6" t="s">
        <v>270</v>
      </c>
      <c r="D8" s="6"/>
      <c r="E8" s="6"/>
      <c r="F8" s="6" t="s">
        <v>271</v>
      </c>
      <c r="G8" s="7" t="s">
        <v>272</v>
      </c>
    </row>
    <row r="9" spans="1:7" ht="15">
      <c r="A9" s="5"/>
      <c r="B9" s="6"/>
      <c r="C9" s="6"/>
      <c r="D9" s="6"/>
      <c r="E9" s="6"/>
      <c r="F9" s="6"/>
      <c r="G9" s="7" t="s">
        <v>273</v>
      </c>
    </row>
    <row r="10" spans="1:7" ht="15">
      <c r="A10" s="5"/>
      <c r="B10" s="6"/>
      <c r="C10" s="6"/>
      <c r="D10" s="6"/>
      <c r="E10" s="6"/>
      <c r="F10" s="6"/>
      <c r="G10" s="7" t="s">
        <v>274</v>
      </c>
    </row>
    <row r="11" spans="1:7" ht="15">
      <c r="A11" s="5"/>
      <c r="B11" s="6"/>
      <c r="C11" s="6"/>
      <c r="D11" s="6"/>
      <c r="E11" s="6"/>
      <c r="F11" s="6"/>
      <c r="G11" s="7" t="s">
        <v>275</v>
      </c>
    </row>
    <row r="12" spans="1:7" ht="15">
      <c r="A12" s="5"/>
      <c r="B12" s="6"/>
      <c r="C12" s="6"/>
      <c r="D12" s="6"/>
      <c r="E12" s="6"/>
      <c r="F12" s="6"/>
      <c r="G12" s="7" t="s">
        <v>276</v>
      </c>
    </row>
    <row r="13" spans="1:7" ht="15">
      <c r="A13" s="5"/>
      <c r="B13" s="6"/>
      <c r="C13" s="6"/>
      <c r="D13" s="6"/>
      <c r="E13" s="6"/>
      <c r="F13" s="6"/>
      <c r="G13" s="7" t="s">
        <v>277</v>
      </c>
    </row>
    <row r="14" spans="1:7" ht="15">
      <c r="A14" s="5"/>
      <c r="B14" s="6"/>
      <c r="C14" s="6"/>
      <c r="D14" s="6"/>
      <c r="E14" s="6"/>
      <c r="F14" s="6"/>
      <c r="G14" s="7" t="s">
        <v>278</v>
      </c>
    </row>
    <row r="15" spans="1:7" ht="15">
      <c r="A15" s="8"/>
      <c r="B15" s="9"/>
      <c r="C15" s="9"/>
      <c r="D15" s="9"/>
      <c r="E15" s="9"/>
      <c r="F15" s="9"/>
      <c r="G15" s="10" t="s">
        <v>279</v>
      </c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数据集资产台账</vt:lpstr>
      <vt:lpstr>模型任务需求</vt:lpstr>
      <vt:lpstr>标签与验证记录</vt:lpstr>
      <vt:lpstr>字段字典</vt:lpstr>
      <vt:lpstr>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Bilian Qian</cp:lastModifiedBy>
  <dcterms:modified xsi:type="dcterms:W3CDTF">2026-09-02T07:51:01Z</dcterms:modified>
</cp:coreProperties>
</file>